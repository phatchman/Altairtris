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1f3ed195a5c66f4/Documents/programming/Altair/tetris/"/>
    </mc:Choice>
  </mc:AlternateContent>
  <xr:revisionPtr revIDLastSave="1594" documentId="8_{7BC5AE73-3599-4A9F-86B7-6545A68099B3}" xr6:coauthVersionLast="47" xr6:coauthVersionMax="47" xr10:uidLastSave="{A4D08B95-C7B1-4F43-829F-CE5697385927}"/>
  <bookViews>
    <workbookView xWindow="-98" yWindow="-98" windowWidth="28996" windowHeight="15675" xr2:uid="{976F4968-141B-4731-AE55-FFE02B0EFB0F}"/>
  </bookViews>
  <sheets>
    <sheet name="Tetrominos" sheetId="1" r:id="rId1"/>
    <sheet name="Tetromino ASM" sheetId="6" r:id="rId2"/>
    <sheet name="Tetromino Chars" sheetId="7" r:id="rId3"/>
    <sheet name="Dazzle Table" sheetId="9" r:id="rId4"/>
    <sheet name="Dazzler Layout2" sheetId="13" r:id="rId5"/>
    <sheet name="Kick 5" sheetId="3" r:id="rId6"/>
    <sheet name="Gravity" sheetId="4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9" l="1"/>
  <c r="C14" i="9" s="1"/>
  <c r="B13" i="9"/>
  <c r="C13" i="9" s="1"/>
  <c r="B12" i="9"/>
  <c r="C12" i="9" s="1"/>
  <c r="B11" i="9"/>
  <c r="C11" i="9" s="1"/>
  <c r="B10" i="9"/>
  <c r="C10" i="9" s="1"/>
  <c r="B9" i="9"/>
  <c r="C9" i="9" s="1"/>
  <c r="B8" i="9"/>
  <c r="C8" i="9" s="1"/>
  <c r="AJ92" i="13"/>
  <c r="AJ91" i="13"/>
  <c r="AJ90" i="13"/>
  <c r="AJ89" i="13"/>
  <c r="AJ88" i="13"/>
  <c r="AJ86" i="13"/>
  <c r="AJ85" i="13"/>
  <c r="AJ84" i="13"/>
  <c r="AJ83" i="13"/>
  <c r="AJ82" i="13"/>
  <c r="AJ80" i="13"/>
  <c r="AJ79" i="13"/>
  <c r="AJ78" i="13"/>
  <c r="AJ77" i="13"/>
  <c r="AJ76" i="13"/>
  <c r="AJ74" i="13"/>
  <c r="AJ73" i="13"/>
  <c r="AJ72" i="13"/>
  <c r="AJ71" i="13"/>
  <c r="AJ70" i="13"/>
  <c r="AJ68" i="13"/>
  <c r="AJ67" i="13"/>
  <c r="AJ66" i="13"/>
  <c r="AJ65" i="13"/>
  <c r="AJ64" i="13"/>
  <c r="AJ62" i="13"/>
  <c r="AJ61" i="13"/>
  <c r="AJ60" i="13"/>
  <c r="AJ59" i="13"/>
  <c r="AJ58" i="13"/>
  <c r="AJ56" i="13"/>
  <c r="AJ55" i="13"/>
  <c r="AJ54" i="13"/>
  <c r="AJ53" i="13"/>
  <c r="AJ52" i="13"/>
  <c r="AJ50" i="13"/>
  <c r="AJ49" i="13"/>
  <c r="AJ48" i="13"/>
  <c r="AJ47" i="13"/>
  <c r="AJ46" i="13"/>
  <c r="AJ44" i="13"/>
  <c r="AJ43" i="13"/>
  <c r="AJ42" i="13"/>
  <c r="AJ41" i="13"/>
  <c r="AJ40" i="13"/>
  <c r="AJ38" i="13"/>
  <c r="AJ37" i="13"/>
  <c r="AJ36" i="13"/>
  <c r="AJ35" i="13"/>
  <c r="AJ34" i="13"/>
  <c r="F18" i="9"/>
  <c r="G18" i="9" s="1"/>
  <c r="C18" i="9"/>
  <c r="F17" i="9"/>
  <c r="G17" i="9" s="1"/>
  <c r="C17" i="9"/>
  <c r="I17" i="9" s="1"/>
  <c r="F19" i="9"/>
  <c r="G19" i="9" s="1"/>
  <c r="I19" i="9" s="1"/>
  <c r="C19" i="9"/>
  <c r="F16" i="9"/>
  <c r="G16" i="9" s="1"/>
  <c r="C16" i="9"/>
  <c r="F15" i="9"/>
  <c r="G15" i="9" s="1"/>
  <c r="F14" i="9"/>
  <c r="G14" i="9" s="1"/>
  <c r="F13" i="9"/>
  <c r="G13" i="9" s="1"/>
  <c r="F12" i="9"/>
  <c r="G12" i="9" s="1"/>
  <c r="F11" i="9"/>
  <c r="G11" i="9" s="1"/>
  <c r="F10" i="9"/>
  <c r="G10" i="9" s="1"/>
  <c r="F9" i="9"/>
  <c r="G9" i="9" s="1"/>
  <c r="F8" i="9"/>
  <c r="G8" i="9" s="1"/>
  <c r="C15" i="9"/>
  <c r="AI5" i="13"/>
  <c r="AI4" i="13"/>
  <c r="B145" i="6"/>
  <c r="B146" i="6"/>
  <c r="B147" i="6"/>
  <c r="B148" i="6"/>
  <c r="B140" i="6"/>
  <c r="B141" i="6"/>
  <c r="B142" i="6"/>
  <c r="B143" i="6"/>
  <c r="B135" i="6"/>
  <c r="B136" i="6"/>
  <c r="B137" i="6"/>
  <c r="B138" i="6"/>
  <c r="B130" i="6"/>
  <c r="B131" i="6"/>
  <c r="B132" i="6"/>
  <c r="B133" i="6"/>
  <c r="B124" i="6"/>
  <c r="B125" i="6"/>
  <c r="B126" i="6"/>
  <c r="B127" i="6"/>
  <c r="B119" i="6"/>
  <c r="B120" i="6"/>
  <c r="B121" i="6"/>
  <c r="B122" i="6"/>
  <c r="B114" i="6"/>
  <c r="B115" i="6"/>
  <c r="B116" i="6"/>
  <c r="B117" i="6"/>
  <c r="B109" i="6"/>
  <c r="B110" i="6"/>
  <c r="B111" i="6"/>
  <c r="B112" i="6"/>
  <c r="B103" i="6"/>
  <c r="B104" i="6"/>
  <c r="B105" i="6"/>
  <c r="B106" i="6"/>
  <c r="B98" i="6"/>
  <c r="B99" i="6"/>
  <c r="B100" i="6"/>
  <c r="B101" i="6"/>
  <c r="B93" i="6"/>
  <c r="B94" i="6"/>
  <c r="B95" i="6"/>
  <c r="B96" i="6"/>
  <c r="B88" i="6"/>
  <c r="B89" i="6"/>
  <c r="B90" i="6"/>
  <c r="B91" i="6"/>
  <c r="B82" i="6"/>
  <c r="B83" i="6"/>
  <c r="B84" i="6"/>
  <c r="B85" i="6"/>
  <c r="B77" i="6"/>
  <c r="B78" i="6"/>
  <c r="B79" i="6"/>
  <c r="B80" i="6"/>
  <c r="B72" i="6"/>
  <c r="B73" i="6"/>
  <c r="B74" i="6"/>
  <c r="B75" i="6"/>
  <c r="B67" i="6"/>
  <c r="B68" i="6"/>
  <c r="B69" i="6"/>
  <c r="B70" i="6"/>
  <c r="B61" i="6"/>
  <c r="B62" i="6"/>
  <c r="B63" i="6"/>
  <c r="B64" i="6"/>
  <c r="B56" i="6"/>
  <c r="B57" i="6"/>
  <c r="B58" i="6"/>
  <c r="B59" i="6"/>
  <c r="B51" i="6"/>
  <c r="B52" i="6"/>
  <c r="B53" i="6"/>
  <c r="B54" i="6"/>
  <c r="B46" i="6"/>
  <c r="B47" i="6"/>
  <c r="B48" i="6"/>
  <c r="B49" i="6"/>
  <c r="B40" i="6"/>
  <c r="B41" i="6"/>
  <c r="B42" i="6"/>
  <c r="B43" i="6"/>
  <c r="B35" i="6"/>
  <c r="B36" i="6"/>
  <c r="B37" i="6"/>
  <c r="B38" i="6"/>
  <c r="B30" i="6"/>
  <c r="B31" i="6"/>
  <c r="B32" i="6"/>
  <c r="B33" i="6"/>
  <c r="B25" i="6"/>
  <c r="B26" i="6"/>
  <c r="B27" i="6"/>
  <c r="B28" i="6"/>
  <c r="B20" i="6"/>
  <c r="B21" i="6"/>
  <c r="B22" i="6"/>
  <c r="B23" i="6"/>
  <c r="B15" i="6"/>
  <c r="B16" i="6"/>
  <c r="B17" i="6"/>
  <c r="B18" i="6"/>
  <c r="B9" i="6"/>
  <c r="B10" i="6"/>
  <c r="B11" i="6"/>
  <c r="B12" i="6"/>
  <c r="B3" i="6"/>
  <c r="B4" i="6"/>
  <c r="B5" i="6"/>
  <c r="B6" i="6"/>
  <c r="D13" i="3"/>
  <c r="D12" i="3"/>
  <c r="D11" i="3"/>
  <c r="D10" i="3"/>
  <c r="D9" i="3"/>
  <c r="D8" i="3"/>
  <c r="D7" i="3"/>
  <c r="D6" i="3"/>
  <c r="D5" i="3"/>
  <c r="D4" i="3"/>
  <c r="D3" i="3"/>
  <c r="D2" i="3"/>
  <c r="V12" i="1" a="1"/>
  <c r="AC25" i="1" a="1"/>
  <c r="AN33" i="1" a="1"/>
  <c r="W25" i="1" a="1"/>
  <c r="AF32" i="1" a="1"/>
  <c r="AL28" i="1" a="1"/>
  <c r="AK33" i="1" a="1"/>
  <c r="AF9" i="1" a="1"/>
  <c r="AI33" i="1" a="1"/>
  <c r="V7" i="1" a="1"/>
  <c r="AD17" i="1" a="1"/>
  <c r="AN4" i="1" a="1"/>
  <c r="W12" i="1" a="1"/>
  <c r="AF28" i="1" a="1"/>
  <c r="AM24" i="1" a="1"/>
  <c r="AK27" i="1" a="1"/>
  <c r="AH15" i="1" a="1"/>
  <c r="Y34" i="1" a="1"/>
  <c r="AL12" i="1" a="1"/>
  <c r="AN30" i="1" a="1"/>
  <c r="X25" i="1" a="1"/>
  <c r="AI23" i="1" a="1"/>
  <c r="Y23" i="1" a="1"/>
  <c r="AH19" i="1" a="1"/>
  <c r="AA27" i="1" a="1"/>
  <c r="AC30" i="1" a="1"/>
  <c r="X17" i="1" a="1"/>
  <c r="Y28" i="1" a="1"/>
  <c r="AC20" i="1" a="1"/>
  <c r="AM4" i="1" a="1"/>
  <c r="AA14" i="1" a="1"/>
  <c r="AA35" i="1" a="1"/>
  <c r="X29" i="1" a="1"/>
  <c r="AB28" i="1" a="1"/>
  <c r="AL17" i="1" a="1"/>
  <c r="AG28" i="1" a="1"/>
  <c r="V24" i="1" a="1"/>
  <c r="AM14" i="1" a="1"/>
  <c r="AL33" i="1" a="1"/>
  <c r="X8" i="1" a="1"/>
  <c r="AL35" i="1" a="1"/>
  <c r="AI19" i="1" a="1"/>
  <c r="AA19" i="1" a="1"/>
  <c r="W17" i="1" a="1"/>
  <c r="AN10" i="1" a="1"/>
  <c r="AM3" i="1" a="1"/>
  <c r="AD35" i="1" a="1"/>
  <c r="AF7" i="1" a="1"/>
  <c r="AA20" i="1" a="1"/>
  <c r="AH28" i="1" a="1"/>
  <c r="AG35" i="1" a="1"/>
  <c r="W35" i="1" a="1"/>
  <c r="AI15" i="1" a="1"/>
  <c r="Y24" i="1" a="1"/>
  <c r="Y2" i="1" a="1"/>
  <c r="AA24" i="1" a="1"/>
  <c r="V30" i="1" a="1"/>
  <c r="AK20" i="1" a="1"/>
  <c r="AA15" i="1" a="1"/>
  <c r="V33" i="1" a="1"/>
  <c r="W27" i="1" a="1"/>
  <c r="W8" i="1" a="1"/>
  <c r="AD20" i="1" a="1"/>
  <c r="AM25" i="1" a="1"/>
  <c r="Y5" i="1" a="1"/>
  <c r="AH32" i="1" a="1"/>
  <c r="AH10" i="1" a="1"/>
  <c r="AM32" i="1" a="1"/>
  <c r="AA10" i="1" a="1"/>
  <c r="W14" i="1" a="1"/>
  <c r="X13" i="1" a="1"/>
  <c r="AB15" i="1" a="1"/>
  <c r="AK17" i="1" a="1"/>
  <c r="AN9" i="1" a="1"/>
  <c r="AH24" i="1" a="1"/>
  <c r="AN35" i="1" a="1"/>
  <c r="AM29" i="1" a="1"/>
  <c r="AF27" i="1" a="1"/>
  <c r="AK8" i="1" a="1"/>
  <c r="AG18" i="1" a="1"/>
  <c r="Y15" i="1" a="1"/>
  <c r="AD22" i="1" a="1"/>
  <c r="AG4" i="1" a="1"/>
  <c r="AL7" i="1" a="1"/>
  <c r="AG33" i="1" a="1"/>
  <c r="AN8" i="1" a="1"/>
  <c r="AL15" i="1" a="1"/>
  <c r="AM34" i="1" a="1"/>
  <c r="AM20" i="1" a="1"/>
  <c r="Y30" i="1" a="1"/>
  <c r="V10" i="1" a="1"/>
  <c r="X4" i="1" a="1"/>
  <c r="AI18" i="1" a="1"/>
  <c r="AK32" i="1" a="1"/>
  <c r="Y10" i="1" a="1"/>
  <c r="AB24" i="1" a="1"/>
  <c r="AC24" i="1" a="1"/>
  <c r="AN24" i="1" a="1"/>
  <c r="AF35" i="1" a="1"/>
  <c r="V27" i="1" a="1"/>
  <c r="AD34" i="1" a="1"/>
  <c r="W7" i="1" a="1"/>
  <c r="AL29" i="1" a="1"/>
  <c r="AC2" i="1" a="1"/>
  <c r="AB23" i="1" a="1"/>
  <c r="AG12" i="1" a="1"/>
  <c r="AB17" i="1" a="1"/>
  <c r="AL9" i="1" a="1"/>
  <c r="AN20" i="1" a="1"/>
  <c r="AG15" i="1" a="1"/>
  <c r="AA23" i="1" a="1"/>
  <c r="AA2" i="1" a="1"/>
  <c r="AG29" i="1" a="1"/>
  <c r="AN3" i="1" a="1"/>
  <c r="AH20" i="1" a="1"/>
  <c r="AH34" i="1" a="1"/>
  <c r="W32" i="1" a="1"/>
  <c r="AL22" i="1" a="1"/>
  <c r="AB18" i="1" a="1"/>
  <c r="AD12" i="1" a="1"/>
  <c r="AF18" i="1" a="1"/>
  <c r="AC28" i="1" a="1"/>
  <c r="AA7" i="1" a="1"/>
  <c r="AG19" i="1" a="1"/>
  <c r="AK5" i="1" a="1"/>
  <c r="AL23" i="1" a="1"/>
  <c r="AA32" i="1" a="1"/>
  <c r="AB7" i="1" a="1"/>
  <c r="AG14" i="1" a="1"/>
  <c r="AN34" i="1" a="1"/>
  <c r="AB20" i="1" a="1"/>
  <c r="W29" i="1" a="1"/>
  <c r="X10" i="1" a="1"/>
  <c r="AG10" i="1" a="1"/>
  <c r="AK18" i="1" a="1"/>
  <c r="AC29" i="1" a="1"/>
  <c r="AA4" i="1" a="1"/>
  <c r="AD18" i="1" a="1"/>
  <c r="AC22" i="1" a="1"/>
  <c r="AL34" i="1" a="1"/>
  <c r="AH25" i="1" a="1"/>
  <c r="AF22" i="1" a="1"/>
  <c r="AD27" i="1" a="1"/>
  <c r="W33" i="1" a="1"/>
  <c r="AG27" i="1" a="1"/>
  <c r="AN32" i="1" a="1"/>
  <c r="Y13" i="1" a="1"/>
  <c r="Y9" i="1" a="1"/>
  <c r="AN2" i="1" a="1"/>
  <c r="AB13" i="1" a="1"/>
  <c r="AL18" i="1" a="1"/>
  <c r="AI13" i="1" a="1"/>
  <c r="X2" i="1" a="1"/>
  <c r="AC17" i="1" a="1"/>
  <c r="AM27" i="1" a="1"/>
  <c r="AB30" i="1" a="1"/>
  <c r="AK23" i="1" a="1"/>
  <c r="AN5" i="1" a="1"/>
  <c r="AI12" i="1" a="1"/>
  <c r="AK4" i="1" a="1"/>
  <c r="AC12" i="1" a="1"/>
  <c r="AH29" i="1" a="1"/>
  <c r="AB10" i="1" a="1"/>
  <c r="X15" i="1" a="1"/>
  <c r="AF2" i="1" a="1"/>
  <c r="AI8" i="1" a="1"/>
  <c r="AH23" i="1" a="1"/>
  <c r="AK2" i="1" a="1"/>
  <c r="AI32" i="1" a="1"/>
  <c r="Y8" i="1" a="1"/>
  <c r="AG9" i="1" a="1"/>
  <c r="AC5" i="1" a="1"/>
  <c r="AH8" i="1" a="1"/>
  <c r="AB12" i="1" a="1"/>
  <c r="AM22" i="1" a="1"/>
  <c r="AF34" i="1" a="1"/>
  <c r="AN28" i="1" a="1"/>
  <c r="AF33" i="1" a="1"/>
  <c r="AA13" i="1" a="1"/>
  <c r="X34" i="1" a="1"/>
  <c r="AH12" i="1" a="1"/>
  <c r="V15" i="1" a="1"/>
  <c r="X23" i="1" a="1"/>
  <c r="W4" i="1" a="1"/>
  <c r="AL25" i="1" a="1"/>
  <c r="AI7" i="1" a="1"/>
  <c r="AG23" i="1" a="1"/>
  <c r="AA33" i="1" a="1"/>
  <c r="W28" i="1" a="1"/>
  <c r="Y4" i="1" a="1"/>
  <c r="AA29" i="1" a="1"/>
  <c r="AB4" i="1" a="1"/>
  <c r="AD7" i="1" a="1"/>
  <c r="W13" i="1" a="1"/>
  <c r="AF4" i="1" a="1"/>
  <c r="AG17" i="1" a="1"/>
  <c r="AC33" i="1" a="1"/>
  <c r="AA8" i="1" a="1"/>
  <c r="AC27" i="1" a="1"/>
  <c r="X5" i="1" a="1"/>
  <c r="Y32" i="1" a="1"/>
  <c r="AK28" i="1" a="1"/>
  <c r="AK22" i="1" a="1"/>
  <c r="AM19" i="1" a="1"/>
  <c r="AM18" i="1" a="1"/>
  <c r="AD24" i="1" a="1"/>
  <c r="AM30" i="1" a="1"/>
  <c r="X7" i="1" a="1"/>
  <c r="V19" i="1" a="1"/>
  <c r="X33" i="1" a="1"/>
  <c r="AB2" i="1" a="1"/>
  <c r="AA17" i="1" a="1"/>
  <c r="V34" i="1" a="1"/>
  <c r="AL20" i="1" a="1"/>
  <c r="V13" i="1" a="1"/>
  <c r="Y7" i="1" a="1"/>
  <c r="X35" i="1" a="1"/>
  <c r="AN14" i="1" a="1"/>
  <c r="AA5" i="1" a="1"/>
  <c r="AB22" i="1" a="1"/>
  <c r="V18" i="1" a="1"/>
  <c r="X12" i="1" a="1"/>
  <c r="AD8" i="1" a="1"/>
  <c r="AD33" i="1" a="1"/>
  <c r="AI35" i="1" a="1"/>
  <c r="AK14" i="1" a="1"/>
  <c r="AH17" i="1" a="1"/>
  <c r="AL19" i="1" a="1"/>
  <c r="AC3" i="1" a="1"/>
  <c r="AN27" i="1" a="1"/>
  <c r="V25" i="1" a="1"/>
  <c r="AD32" i="1" a="1"/>
  <c r="AD25" i="1" a="1"/>
  <c r="AI27" i="1" a="1"/>
  <c r="AK7" i="1" a="1"/>
  <c r="Y35" i="1" a="1"/>
  <c r="AK34" i="1" a="1"/>
  <c r="AK29" i="1" a="1"/>
  <c r="AI28" i="1" a="1"/>
  <c r="X14" i="1" a="1"/>
  <c r="AH2" i="1" a="1"/>
  <c r="AM13" i="1" a="1"/>
  <c r="V4" i="1" a="1"/>
  <c r="AD2" i="1" a="1"/>
  <c r="AM2" i="1" a="1"/>
  <c r="W24" i="1" a="1"/>
  <c r="W19" i="1" a="1"/>
  <c r="AH27" i="1" a="1"/>
  <c r="Y3" i="1" a="1"/>
  <c r="Y17" i="1" a="1"/>
  <c r="AA22" i="1" a="1"/>
  <c r="AF30" i="1" a="1"/>
  <c r="AD13" i="1" a="1"/>
  <c r="AF10" i="1" a="1"/>
  <c r="V8" i="1" a="1"/>
  <c r="Y33" i="1" a="1"/>
  <c r="AG22" i="1" a="1"/>
  <c r="AF14" i="1" a="1"/>
  <c r="AL30" i="1" a="1"/>
  <c r="AL14" i="1" a="1"/>
  <c r="AC19" i="1" a="1"/>
  <c r="X28" i="1" a="1"/>
  <c r="W23" i="1" a="1"/>
  <c r="AN18" i="1" a="1"/>
  <c r="W3" i="1" a="1"/>
  <c r="AM10" i="1" a="1"/>
  <c r="X20" i="1" a="1"/>
  <c r="AB32" i="1" a="1"/>
  <c r="Y18" i="1" a="1"/>
  <c r="AI9" i="1" a="1"/>
  <c r="X19" i="1" a="1"/>
  <c r="Y19" i="1" a="1"/>
  <c r="AN13" i="1" a="1"/>
  <c r="AA34" i="1" a="1"/>
  <c r="AL2" i="1" a="1"/>
  <c r="AH33" i="1" a="1"/>
  <c r="AB33" i="1" a="1"/>
  <c r="AI4" i="1" a="1"/>
  <c r="AC23" i="1" a="1"/>
  <c r="AH22" i="1" a="1"/>
  <c r="W10" i="1" a="1"/>
  <c r="Y29" i="1" a="1"/>
  <c r="X30" i="1" a="1"/>
  <c r="AF17" i="1" a="1"/>
  <c r="AM15" i="1" a="1"/>
  <c r="AG8" i="1" a="1"/>
  <c r="AB27" i="1" a="1"/>
  <c r="AH13" i="1" a="1"/>
  <c r="V32" i="1" a="1"/>
  <c r="AC4" i="1" a="1"/>
  <c r="AF15" i="1" a="1"/>
  <c r="W20" i="1" a="1"/>
  <c r="W15" i="1" a="1"/>
  <c r="AH3" i="1" a="1"/>
  <c r="AL27" i="1" a="1"/>
  <c r="AB25" i="1" a="1"/>
  <c r="AF29" i="1" a="1"/>
  <c r="V28" i="1" a="1"/>
  <c r="AM35" i="1" a="1"/>
  <c r="AF20" i="1" a="1"/>
  <c r="AA28" i="1" a="1"/>
  <c r="AA25" i="1" a="1"/>
  <c r="AG32" i="1" a="1"/>
  <c r="Y25" i="1" a="1"/>
  <c r="AF8" i="1" a="1"/>
  <c r="X22" i="1" a="1"/>
  <c r="X3" i="1" a="1"/>
  <c r="AK25" i="1" a="1"/>
  <c r="AI29" i="1" a="1"/>
  <c r="AA18" i="1" a="1"/>
  <c r="AD19" i="1" a="1"/>
  <c r="AA12" i="1" a="1"/>
  <c r="AB5" i="1" a="1"/>
  <c r="AF24" i="1" a="1"/>
  <c r="AN23" i="1" a="1"/>
  <c r="AK3" i="1" a="1"/>
  <c r="AM33" i="1" a="1"/>
  <c r="AH9" i="1" a="1"/>
  <c r="AD15" i="1" a="1"/>
  <c r="AC15" i="1" a="1"/>
  <c r="X9" i="1" a="1"/>
  <c r="AL8" i="1" a="1"/>
  <c r="AF5" i="1" a="1"/>
  <c r="AC14" i="1" a="1"/>
  <c r="AH18" i="1" a="1"/>
  <c r="AG30" i="1" a="1"/>
  <c r="V29" i="1" a="1"/>
  <c r="AI5" i="1" a="1"/>
  <c r="Y20" i="1" a="1"/>
  <c r="AA3" i="1" a="1"/>
  <c r="X32" i="1" a="1"/>
  <c r="AH5" i="1" a="1"/>
  <c r="AB8" i="1" a="1"/>
  <c r="AG7" i="1" a="1"/>
  <c r="AF23" i="1" a="1"/>
  <c r="V23" i="1" a="1"/>
  <c r="V20" i="1" a="1"/>
  <c r="Y14" i="1" a="1"/>
  <c r="W2" i="1" a="1"/>
  <c r="AG3" i="1" a="1"/>
  <c r="V2" i="1" a="1"/>
  <c r="AI22" i="1" a="1"/>
  <c r="AD4" i="1" a="1"/>
  <c r="AK9" i="1" a="1"/>
  <c r="AB35" i="1" a="1"/>
  <c r="AH4" i="1" a="1"/>
  <c r="AN25" i="1" a="1"/>
  <c r="AN17" i="1" a="1"/>
  <c r="AI30" i="1" a="1"/>
  <c r="X27" i="1" a="1"/>
  <c r="AI17" i="1" a="1"/>
  <c r="AK13" i="1" a="1"/>
  <c r="X24" i="1" a="1"/>
  <c r="Y22" i="1" a="1"/>
  <c r="W34" i="1" a="1"/>
  <c r="AF12" i="1" a="1"/>
  <c r="AK10" i="1" a="1"/>
  <c r="AD9" i="1" a="1"/>
  <c r="AK30" i="1" a="1"/>
  <c r="AI34" i="1" a="1"/>
  <c r="AB34" i="1" a="1"/>
  <c r="AC8" i="1" a="1"/>
  <c r="V22" i="1" a="1"/>
  <c r="AC32" i="1" a="1"/>
  <c r="V5" i="1" a="1"/>
  <c r="AC7" i="1" a="1"/>
  <c r="AI14" i="1" a="1"/>
  <c r="AN22" i="1" a="1"/>
  <c r="AL10" i="1" a="1"/>
  <c r="AM23" i="1" a="1"/>
  <c r="AD14" i="1" a="1"/>
  <c r="AI3" i="1" a="1"/>
  <c r="AK19" i="1" a="1"/>
  <c r="AG34" i="1" a="1"/>
  <c r="AH7" i="1" a="1"/>
  <c r="AC10" i="1" a="1"/>
  <c r="AK12" i="1" a="1"/>
  <c r="W18" i="1" a="1"/>
  <c r="AL13" i="1" a="1"/>
  <c r="AH30" i="1" a="1"/>
  <c r="W9" i="1" a="1"/>
  <c r="AH14" i="1" a="1"/>
  <c r="AF19" i="1" a="1"/>
  <c r="AB3" i="1" a="1"/>
  <c r="AC13" i="1" a="1"/>
  <c r="AM17" i="1" a="1"/>
  <c r="AA9" i="1" a="1"/>
  <c r="AB19" i="1" a="1"/>
  <c r="AI2" i="1" a="1"/>
  <c r="AG25" i="1" a="1"/>
  <c r="V35" i="1" a="1"/>
  <c r="AH35" i="1" a="1"/>
  <c r="AF25" i="1" a="1"/>
  <c r="AC34" i="1" a="1"/>
  <c r="AM28" i="1" a="1"/>
  <c r="AD23" i="1" a="1"/>
  <c r="AB14" i="1" a="1"/>
  <c r="AG24" i="1" a="1"/>
  <c r="AB9" i="1" a="1"/>
  <c r="W30" i="1" a="1"/>
  <c r="AI10" i="1" a="1"/>
  <c r="AG13" i="1" a="1"/>
  <c r="AG20" i="1" a="1"/>
  <c r="AG2" i="1" a="1"/>
  <c r="AD10" i="1" a="1"/>
  <c r="AL4" i="1" a="1"/>
  <c r="AM7" i="1" a="1"/>
  <c r="AC18" i="1" a="1"/>
  <c r="AN15" i="1" a="1"/>
  <c r="AD28" i="1" a="1"/>
  <c r="AC35" i="1" a="1"/>
  <c r="AK24" i="1" a="1"/>
  <c r="W5" i="1" a="1"/>
  <c r="V9" i="1" a="1"/>
  <c r="AM9" i="1" a="1"/>
  <c r="AN29" i="1" a="1"/>
  <c r="AL3" i="1" a="1"/>
  <c r="AB29" i="1" a="1"/>
  <c r="V3" i="1" a="1"/>
  <c r="AN19" i="1" a="1"/>
  <c r="AN12" i="1" a="1"/>
  <c r="AI20" i="1" a="1"/>
  <c r="AG5" i="1" a="1"/>
  <c r="AL5" i="1" a="1"/>
  <c r="AM8" i="1" a="1"/>
  <c r="X18" i="1" a="1"/>
  <c r="AD29" i="1" a="1"/>
  <c r="AL32" i="1" a="1"/>
  <c r="Y12" i="1" a="1"/>
  <c r="V14" i="1" a="1"/>
  <c r="AF3" i="1" a="1"/>
  <c r="AI24" i="1" a="1"/>
  <c r="AA30" i="1" a="1"/>
  <c r="AD3" i="1" a="1"/>
  <c r="W22" i="1" a="1"/>
  <c r="AM5" i="1" a="1"/>
  <c r="Y27" i="1" a="1"/>
  <c r="AL24" i="1" a="1"/>
  <c r="AK15" i="1" a="1"/>
  <c r="AM12" i="1" a="1"/>
  <c r="AC9" i="1" a="1"/>
  <c r="AN7" i="1" a="1"/>
  <c r="AF13" i="1" a="1"/>
  <c r="AD30" i="1" a="1"/>
  <c r="V17" i="1" a="1"/>
  <c r="AK35" i="1" a="1"/>
  <c r="AI25" i="1" a="1"/>
  <c r="AD5" i="1" a="1"/>
  <c r="I18" i="9" l="1"/>
  <c r="M10" i="9" s="1"/>
  <c r="I16" i="9"/>
  <c r="I15" i="9"/>
  <c r="I9" i="9"/>
  <c r="I10" i="9"/>
  <c r="I12" i="9"/>
  <c r="I13" i="9"/>
  <c r="I8" i="9"/>
  <c r="I14" i="9"/>
  <c r="I11" i="9"/>
  <c r="AK32" i="1"/>
  <c r="AK33" i="1"/>
  <c r="AK34" i="1"/>
  <c r="AK35" i="1"/>
  <c r="AL33" i="1"/>
  <c r="AL35" i="1"/>
  <c r="AM35" i="1"/>
  <c r="AM34" i="1"/>
  <c r="AL32" i="1"/>
  <c r="AL34" i="1"/>
  <c r="AM32" i="1"/>
  <c r="AM33" i="1"/>
  <c r="AN32" i="1"/>
  <c r="AN33" i="1"/>
  <c r="AN34" i="1"/>
  <c r="AN35" i="1"/>
  <c r="AF32" i="1"/>
  <c r="AF33" i="1"/>
  <c r="AF34" i="1"/>
  <c r="AF35" i="1"/>
  <c r="AG32" i="1"/>
  <c r="AG35" i="1"/>
  <c r="AG33" i="1"/>
  <c r="AG34" i="1"/>
  <c r="AH32" i="1"/>
  <c r="AH35" i="1"/>
  <c r="AH33" i="1"/>
  <c r="AH34" i="1"/>
  <c r="AI35" i="1"/>
  <c r="AI32" i="1"/>
  <c r="AI33" i="1"/>
  <c r="AI34" i="1"/>
  <c r="AA34" i="1"/>
  <c r="AA35" i="1"/>
  <c r="AB35" i="1"/>
  <c r="AA33" i="1"/>
  <c r="AB32" i="1"/>
  <c r="AC35" i="1"/>
  <c r="AC34" i="1"/>
  <c r="AA32" i="1"/>
  <c r="AB33" i="1"/>
  <c r="AC32" i="1"/>
  <c r="AC33" i="1"/>
  <c r="AD32" i="1"/>
  <c r="AD33" i="1"/>
  <c r="AD34" i="1"/>
  <c r="AD35" i="1"/>
  <c r="AB34" i="1"/>
  <c r="V35" i="1"/>
  <c r="W35" i="1"/>
  <c r="V34" i="1"/>
  <c r="W33" i="1"/>
  <c r="X32" i="1"/>
  <c r="X33" i="1"/>
  <c r="X34" i="1"/>
  <c r="X35" i="1"/>
  <c r="W34" i="1"/>
  <c r="V33" i="1"/>
  <c r="W32" i="1"/>
  <c r="Y33" i="1"/>
  <c r="Y34" i="1"/>
  <c r="Y35" i="1"/>
  <c r="Y32" i="1"/>
  <c r="V32" i="1"/>
  <c r="AK30" i="1"/>
  <c r="AK27" i="1"/>
  <c r="AL27" i="1"/>
  <c r="AL28" i="1"/>
  <c r="AL29" i="1"/>
  <c r="AL30" i="1"/>
  <c r="AK29" i="1"/>
  <c r="AM27" i="1"/>
  <c r="AM30" i="1"/>
  <c r="AM28" i="1"/>
  <c r="AM29" i="1"/>
  <c r="AK28" i="1"/>
  <c r="AN27" i="1"/>
  <c r="AN28" i="1"/>
  <c r="AN29" i="1"/>
  <c r="AN30" i="1"/>
  <c r="AF28" i="1"/>
  <c r="AF30" i="1"/>
  <c r="AG27" i="1"/>
  <c r="AG28" i="1"/>
  <c r="AG29" i="1"/>
  <c r="AG30" i="1"/>
  <c r="AF27" i="1"/>
  <c r="AH27" i="1"/>
  <c r="AH28" i="1"/>
  <c r="AH30" i="1"/>
  <c r="AH29" i="1"/>
  <c r="AF29" i="1"/>
  <c r="AI27" i="1"/>
  <c r="AI28" i="1"/>
  <c r="AI29" i="1"/>
  <c r="AI30" i="1"/>
  <c r="AA30" i="1"/>
  <c r="AB27" i="1"/>
  <c r="AB29" i="1"/>
  <c r="AB30" i="1"/>
  <c r="AA27" i="1"/>
  <c r="AB28" i="1"/>
  <c r="AC27" i="1"/>
  <c r="AC29" i="1"/>
  <c r="AC30" i="1"/>
  <c r="AC28" i="1"/>
  <c r="AA28" i="1"/>
  <c r="AD27" i="1"/>
  <c r="AD28" i="1"/>
  <c r="AD30" i="1"/>
  <c r="AA29" i="1"/>
  <c r="AD29" i="1"/>
  <c r="V27" i="1"/>
  <c r="W27" i="1"/>
  <c r="X27" i="1"/>
  <c r="Y27" i="1"/>
  <c r="W30" i="1"/>
  <c r="V29" i="1"/>
  <c r="V30" i="1"/>
  <c r="X29" i="1"/>
  <c r="W29" i="1"/>
  <c r="X30" i="1"/>
  <c r="Y28" i="1"/>
  <c r="Y30" i="1"/>
  <c r="W28" i="1"/>
  <c r="X28" i="1"/>
  <c r="Y29" i="1"/>
  <c r="V28" i="1"/>
  <c r="AK23" i="1"/>
  <c r="AK22" i="1"/>
  <c r="AM22" i="1"/>
  <c r="AM24" i="1"/>
  <c r="AK25" i="1"/>
  <c r="AL23" i="1"/>
  <c r="AL25" i="1"/>
  <c r="AM23" i="1"/>
  <c r="AM25" i="1"/>
  <c r="AK24" i="1"/>
  <c r="AL22" i="1"/>
  <c r="AL24" i="1"/>
  <c r="AN22" i="1"/>
  <c r="AN23" i="1"/>
  <c r="AN24" i="1"/>
  <c r="AN25" i="1"/>
  <c r="AF22" i="1"/>
  <c r="AG22" i="1"/>
  <c r="AG23" i="1"/>
  <c r="AG24" i="1"/>
  <c r="AG25" i="1"/>
  <c r="AF23" i="1"/>
  <c r="AH22" i="1"/>
  <c r="AH23" i="1"/>
  <c r="AH24" i="1"/>
  <c r="AH25" i="1"/>
  <c r="AF24" i="1"/>
  <c r="AF25" i="1"/>
  <c r="AI22" i="1"/>
  <c r="AI23" i="1"/>
  <c r="AI24" i="1"/>
  <c r="AI25" i="1"/>
  <c r="AA24" i="1"/>
  <c r="AB23" i="1"/>
  <c r="AB25" i="1"/>
  <c r="AB22" i="1"/>
  <c r="AB24" i="1"/>
  <c r="AA22" i="1"/>
  <c r="AC22" i="1"/>
  <c r="AC23" i="1"/>
  <c r="AC24" i="1"/>
  <c r="AC25" i="1"/>
  <c r="AA23" i="1"/>
  <c r="AD22" i="1"/>
  <c r="AD25" i="1"/>
  <c r="AA25" i="1"/>
  <c r="AD23" i="1"/>
  <c r="AD24" i="1"/>
  <c r="V25" i="1"/>
  <c r="V23" i="1"/>
  <c r="W24" i="1"/>
  <c r="X22" i="1"/>
  <c r="X23" i="1"/>
  <c r="X24" i="1"/>
  <c r="X25" i="1"/>
  <c r="W22" i="1"/>
  <c r="V24" i="1"/>
  <c r="W25" i="1"/>
  <c r="Y22" i="1"/>
  <c r="Y23" i="1"/>
  <c r="Y24" i="1"/>
  <c r="Y25" i="1"/>
  <c r="W23" i="1"/>
  <c r="V22" i="1"/>
  <c r="AK19" i="1"/>
  <c r="AL20" i="1"/>
  <c r="AM17" i="1"/>
  <c r="AM18" i="1"/>
  <c r="AM20" i="1"/>
  <c r="AK18" i="1"/>
  <c r="AL18" i="1"/>
  <c r="AM19" i="1"/>
  <c r="AK17" i="1"/>
  <c r="AL17" i="1"/>
  <c r="AN17" i="1"/>
  <c r="AN18" i="1"/>
  <c r="AN20" i="1"/>
  <c r="AK20" i="1"/>
  <c r="AL19" i="1"/>
  <c r="AN19" i="1"/>
  <c r="AF17" i="1"/>
  <c r="AF20" i="1"/>
  <c r="AG17" i="1"/>
  <c r="AG18" i="1"/>
  <c r="AG19" i="1"/>
  <c r="AG20" i="1"/>
  <c r="AF19" i="1"/>
  <c r="AH17" i="1"/>
  <c r="AH18" i="1"/>
  <c r="AH19" i="1"/>
  <c r="AH20" i="1"/>
  <c r="AF18" i="1"/>
  <c r="AI17" i="1"/>
  <c r="AI18" i="1"/>
  <c r="AI19" i="1"/>
  <c r="AI20" i="1"/>
  <c r="AA17" i="1"/>
  <c r="AA18" i="1"/>
  <c r="AA19" i="1"/>
  <c r="AA20" i="1"/>
  <c r="AB18" i="1"/>
  <c r="AB17" i="1"/>
  <c r="AB20" i="1"/>
  <c r="AC18" i="1"/>
  <c r="AC20" i="1"/>
  <c r="AD17" i="1"/>
  <c r="AB19" i="1"/>
  <c r="AC17" i="1"/>
  <c r="AC19" i="1"/>
  <c r="AD18" i="1"/>
  <c r="AD19" i="1"/>
  <c r="AD20" i="1"/>
  <c r="W19" i="1"/>
  <c r="W18" i="1"/>
  <c r="W20" i="1"/>
  <c r="V19" i="1"/>
  <c r="X20" i="1"/>
  <c r="V18" i="1"/>
  <c r="W17" i="1"/>
  <c r="X17" i="1"/>
  <c r="X18" i="1"/>
  <c r="X19" i="1"/>
  <c r="Y17" i="1"/>
  <c r="Y18" i="1"/>
  <c r="Y20" i="1"/>
  <c r="V20" i="1"/>
  <c r="Y19" i="1"/>
  <c r="V17" i="1"/>
  <c r="AK14" i="1"/>
  <c r="AK15" i="1"/>
  <c r="AL15" i="1"/>
  <c r="AM15" i="1"/>
  <c r="AK13" i="1"/>
  <c r="AL12" i="1"/>
  <c r="AL14" i="1"/>
  <c r="AM12" i="1"/>
  <c r="AM13" i="1"/>
  <c r="AM14" i="1"/>
  <c r="AN12" i="1"/>
  <c r="AN13" i="1"/>
  <c r="AN15" i="1"/>
  <c r="AK12" i="1"/>
  <c r="AL13" i="1"/>
  <c r="AN14" i="1"/>
  <c r="AF12" i="1"/>
  <c r="AG15" i="1"/>
  <c r="AF14" i="1"/>
  <c r="AG12" i="1"/>
  <c r="AG14" i="1"/>
  <c r="AH12" i="1"/>
  <c r="AH13" i="1"/>
  <c r="AH14" i="1"/>
  <c r="AH15" i="1"/>
  <c r="AF15" i="1"/>
  <c r="AF13" i="1"/>
  <c r="AG13" i="1"/>
  <c r="AI12" i="1"/>
  <c r="AI13" i="1"/>
  <c r="AI14" i="1"/>
  <c r="AI15" i="1"/>
  <c r="AB13" i="1"/>
  <c r="AC12" i="1"/>
  <c r="AC13" i="1"/>
  <c r="AC14" i="1"/>
  <c r="AC15" i="1"/>
  <c r="AA12" i="1"/>
  <c r="AA13" i="1"/>
  <c r="AA14" i="1"/>
  <c r="AA15" i="1"/>
  <c r="AB12" i="1"/>
  <c r="AB14" i="1"/>
  <c r="AD12" i="1"/>
  <c r="AD13" i="1"/>
  <c r="AD14" i="1"/>
  <c r="AD15" i="1"/>
  <c r="AB15" i="1"/>
  <c r="W15" i="1"/>
  <c r="V15" i="1"/>
  <c r="W13" i="1"/>
  <c r="X12" i="1"/>
  <c r="X13" i="1"/>
  <c r="X15" i="1"/>
  <c r="V13" i="1"/>
  <c r="X14" i="1"/>
  <c r="V14" i="1"/>
  <c r="W12" i="1"/>
  <c r="Y12" i="1"/>
  <c r="Y13" i="1"/>
  <c r="Y14" i="1"/>
  <c r="Y15" i="1"/>
  <c r="W14" i="1"/>
  <c r="V12" i="1"/>
  <c r="AK7" i="1"/>
  <c r="AL9" i="1"/>
  <c r="AL10" i="1"/>
  <c r="AK10" i="1"/>
  <c r="AL7" i="1"/>
  <c r="AM7" i="1"/>
  <c r="AM8" i="1"/>
  <c r="AM10" i="1"/>
  <c r="AK9" i="1"/>
  <c r="AL8" i="1"/>
  <c r="AM9" i="1"/>
  <c r="AK8" i="1"/>
  <c r="AN7" i="1"/>
  <c r="AN8" i="1"/>
  <c r="AN9" i="1"/>
  <c r="AN10" i="1"/>
  <c r="AI7" i="1"/>
  <c r="AI10" i="1"/>
  <c r="AF7" i="1"/>
  <c r="AF8" i="1"/>
  <c r="AF9" i="1"/>
  <c r="AF10" i="1"/>
  <c r="AI8" i="1"/>
  <c r="AI9" i="1"/>
  <c r="AG7" i="1"/>
  <c r="AG8" i="1"/>
  <c r="AG9" i="1"/>
  <c r="AH7" i="1"/>
  <c r="AH8" i="1"/>
  <c r="AH9" i="1"/>
  <c r="AH10" i="1"/>
  <c r="AG10" i="1"/>
  <c r="AA10" i="1"/>
  <c r="AA7" i="1"/>
  <c r="AB7" i="1"/>
  <c r="AB8" i="1"/>
  <c r="AB9" i="1"/>
  <c r="AB10" i="1"/>
  <c r="AC7" i="1"/>
  <c r="AC8" i="1"/>
  <c r="AC10" i="1"/>
  <c r="AA9" i="1"/>
  <c r="AC9" i="1"/>
  <c r="AA8" i="1"/>
  <c r="AD7" i="1"/>
  <c r="AD8" i="1"/>
  <c r="AD9" i="1"/>
  <c r="AD10" i="1"/>
  <c r="Y8" i="1"/>
  <c r="V8" i="1"/>
  <c r="V9" i="1"/>
  <c r="V10" i="1"/>
  <c r="Y7" i="1"/>
  <c r="W7" i="1"/>
  <c r="W8" i="1"/>
  <c r="W9" i="1"/>
  <c r="W10" i="1"/>
  <c r="X10" i="1"/>
  <c r="X7" i="1"/>
  <c r="X8" i="1"/>
  <c r="X9" i="1"/>
  <c r="Y10" i="1"/>
  <c r="Y9" i="1"/>
  <c r="V7" i="1"/>
  <c r="AL4" i="1"/>
  <c r="AK2" i="1"/>
  <c r="AK3" i="1"/>
  <c r="AL5" i="1"/>
  <c r="AM5" i="1"/>
  <c r="AM4" i="1"/>
  <c r="AK4" i="1"/>
  <c r="AL2" i="1"/>
  <c r="AL3" i="1"/>
  <c r="AM2" i="1"/>
  <c r="AM3" i="1"/>
  <c r="AN2" i="1"/>
  <c r="AN3" i="1"/>
  <c r="AN4" i="1"/>
  <c r="AN5" i="1"/>
  <c r="AK5" i="1"/>
  <c r="AF3" i="1"/>
  <c r="AF4" i="1"/>
  <c r="AF5" i="1"/>
  <c r="AG4" i="1"/>
  <c r="AG2" i="1"/>
  <c r="AG5" i="1"/>
  <c r="AH2" i="1"/>
  <c r="AH3" i="1"/>
  <c r="AH4" i="1"/>
  <c r="AH5" i="1"/>
  <c r="AF2" i="1"/>
  <c r="AG3" i="1"/>
  <c r="AI2" i="1"/>
  <c r="AI3" i="1"/>
  <c r="AI4" i="1"/>
  <c r="AI5" i="1"/>
  <c r="AB4" i="1"/>
  <c r="AB5" i="1"/>
  <c r="AA4" i="1"/>
  <c r="AA3" i="1"/>
  <c r="AB3" i="1"/>
  <c r="AC5" i="1"/>
  <c r="AA5" i="1"/>
  <c r="AC2" i="1"/>
  <c r="AC3" i="1"/>
  <c r="AC4" i="1"/>
  <c r="AD2" i="1"/>
  <c r="AD3" i="1"/>
  <c r="AD5" i="1"/>
  <c r="AA2" i="1"/>
  <c r="AB2" i="1"/>
  <c r="AD4" i="1"/>
  <c r="W3" i="1"/>
  <c r="X2" i="1"/>
  <c r="X5" i="1"/>
  <c r="V4" i="1"/>
  <c r="W5" i="1"/>
  <c r="X3" i="1"/>
  <c r="X4" i="1"/>
  <c r="V5" i="1"/>
  <c r="W2" i="1"/>
  <c r="Y2" i="1"/>
  <c r="Y5" i="1"/>
  <c r="V3" i="1"/>
  <c r="W4" i="1"/>
  <c r="Y3" i="1"/>
  <c r="Y4" i="1"/>
  <c r="V2" i="1"/>
  <c r="I20" i="9" l="1"/>
  <c r="M9" i="9"/>
  <c r="M8" i="9"/>
  <c r="AW8" i="1"/>
  <c r="C36" i="6" s="1"/>
  <c r="AW12" i="1"/>
  <c r="C56" i="6" s="1"/>
  <c r="AZ15" i="1"/>
  <c r="C64" i="6" s="1"/>
  <c r="AT32" i="1"/>
  <c r="C135" i="6" s="1"/>
  <c r="AZ35" i="1"/>
  <c r="C148" i="6" s="1"/>
  <c r="AT33" i="1"/>
  <c r="C136" i="6" s="1"/>
  <c r="AW32" i="1"/>
  <c r="C140" i="6" s="1"/>
  <c r="AQ19" i="1"/>
  <c r="C69" i="6" s="1"/>
  <c r="AW29" i="1"/>
  <c r="C121" i="6" s="1"/>
  <c r="AQ32" i="1"/>
  <c r="C130" i="6" s="1"/>
  <c r="AW35" i="1"/>
  <c r="C143" i="6" s="1"/>
  <c r="AQ34" i="1"/>
  <c r="C132" i="6" s="1"/>
  <c r="AZ32" i="1"/>
  <c r="C145" i="6" s="1"/>
  <c r="AQ24" i="1"/>
  <c r="C90" i="6" s="1"/>
  <c r="AW24" i="1"/>
  <c r="C100" i="6" s="1"/>
  <c r="AQ33" i="1"/>
  <c r="C131" i="6" s="1"/>
  <c r="AQ35" i="1"/>
  <c r="C133" i="6" s="1"/>
  <c r="AT35" i="1"/>
  <c r="C138" i="6" s="1"/>
  <c r="AZ34" i="1"/>
  <c r="C147" i="6" s="1"/>
  <c r="AW34" i="1"/>
  <c r="C142" i="6" s="1"/>
  <c r="AT30" i="1"/>
  <c r="C117" i="6" s="1"/>
  <c r="AZ28" i="1"/>
  <c r="C125" i="6" s="1"/>
  <c r="AQ27" i="1"/>
  <c r="C109" i="6" s="1"/>
  <c r="AT34" i="1"/>
  <c r="C137" i="6" s="1"/>
  <c r="AW33" i="1"/>
  <c r="C141" i="6" s="1"/>
  <c r="AZ33" i="1"/>
  <c r="C146" i="6" s="1"/>
  <c r="AW27" i="1"/>
  <c r="C119" i="6" s="1"/>
  <c r="AT27" i="1"/>
  <c r="C114" i="6" s="1"/>
  <c r="AW30" i="1"/>
  <c r="C122" i="6" s="1"/>
  <c r="AQ29" i="1"/>
  <c r="C111" i="6" s="1"/>
  <c r="AQ30" i="1"/>
  <c r="C112" i="6" s="1"/>
  <c r="AZ29" i="1"/>
  <c r="C126" i="6" s="1"/>
  <c r="AQ28" i="1"/>
  <c r="C110" i="6" s="1"/>
  <c r="AT22" i="1"/>
  <c r="C93" i="6" s="1"/>
  <c r="AT29" i="1"/>
  <c r="C116" i="6" s="1"/>
  <c r="AW28" i="1"/>
  <c r="C120" i="6" s="1"/>
  <c r="AT28" i="1"/>
  <c r="C115" i="6" s="1"/>
  <c r="AZ30" i="1"/>
  <c r="C127" i="6" s="1"/>
  <c r="AZ27" i="1"/>
  <c r="C124" i="6" s="1"/>
  <c r="AQ10" i="1"/>
  <c r="C28" i="6" s="1"/>
  <c r="AZ25" i="1"/>
  <c r="C106" i="6" s="1"/>
  <c r="AW25" i="1"/>
  <c r="C101" i="6" s="1"/>
  <c r="AQ23" i="1"/>
  <c r="C89" i="6" s="1"/>
  <c r="AZ24" i="1"/>
  <c r="C105" i="6" s="1"/>
  <c r="AW19" i="1"/>
  <c r="C79" i="6" s="1"/>
  <c r="AQ22" i="1"/>
  <c r="C88" i="6" s="1"/>
  <c r="AT25" i="1"/>
  <c r="C96" i="6" s="1"/>
  <c r="AW23" i="1"/>
  <c r="C99" i="6" s="1"/>
  <c r="AZ23" i="1"/>
  <c r="C104" i="6" s="1"/>
  <c r="AT24" i="1"/>
  <c r="C95" i="6" s="1"/>
  <c r="AW22" i="1"/>
  <c r="C98" i="6" s="1"/>
  <c r="AW17" i="1"/>
  <c r="C77" i="6" s="1"/>
  <c r="AZ22" i="1"/>
  <c r="C103" i="6" s="1"/>
  <c r="AT23" i="1"/>
  <c r="C94" i="6" s="1"/>
  <c r="AQ25" i="1"/>
  <c r="C91" i="6" s="1"/>
  <c r="AZ7" i="1"/>
  <c r="C40" i="6" s="1"/>
  <c r="AW20" i="1"/>
  <c r="C80" i="6" s="1"/>
  <c r="AT18" i="1"/>
  <c r="C73" i="6" s="1"/>
  <c r="AZ17" i="1"/>
  <c r="C82" i="6" s="1"/>
  <c r="AZ19" i="1"/>
  <c r="C84" i="6" s="1"/>
  <c r="AT17" i="1"/>
  <c r="C72" i="6" s="1"/>
  <c r="AQ17" i="1"/>
  <c r="C67" i="6" s="1"/>
  <c r="AW18" i="1"/>
  <c r="C78" i="6" s="1"/>
  <c r="AT15" i="1"/>
  <c r="C54" i="6" s="1"/>
  <c r="AQ12" i="1"/>
  <c r="C46" i="6" s="1"/>
  <c r="AZ4" i="1"/>
  <c r="C22" i="6" s="1"/>
  <c r="AZ20" i="1"/>
  <c r="C85" i="6" s="1"/>
  <c r="AT19" i="1"/>
  <c r="C74" i="6" s="1"/>
  <c r="AZ13" i="1"/>
  <c r="C62" i="6" s="1"/>
  <c r="AT20" i="1"/>
  <c r="C75" i="6" s="1"/>
  <c r="AQ18" i="1"/>
  <c r="C68" i="6" s="1"/>
  <c r="AQ20" i="1"/>
  <c r="C70" i="6" s="1"/>
  <c r="AZ18" i="1"/>
  <c r="C83" i="6" s="1"/>
  <c r="AW14" i="1"/>
  <c r="C58" i="6" s="1"/>
  <c r="AT13" i="1"/>
  <c r="C52" i="6" s="1"/>
  <c r="AQ15" i="1"/>
  <c r="C49" i="6" s="1"/>
  <c r="AW7" i="1"/>
  <c r="C35" i="6" s="1"/>
  <c r="AQ14" i="1"/>
  <c r="C48" i="6" s="1"/>
  <c r="AT14" i="1"/>
  <c r="C53" i="6" s="1"/>
  <c r="AW15" i="1"/>
  <c r="C59" i="6" s="1"/>
  <c r="AQ13" i="1"/>
  <c r="C47" i="6" s="1"/>
  <c r="AW13" i="1"/>
  <c r="C57" i="6" s="1"/>
  <c r="AZ14" i="1"/>
  <c r="C63" i="6" s="1"/>
  <c r="AT12" i="1"/>
  <c r="C51" i="6" s="1"/>
  <c r="AZ12" i="1"/>
  <c r="C61" i="6" s="1"/>
  <c r="AZ9" i="1"/>
  <c r="C42" i="6" s="1"/>
  <c r="AT7" i="1"/>
  <c r="C30" i="6" s="1"/>
  <c r="AT9" i="1"/>
  <c r="C32" i="6" s="1"/>
  <c r="AW9" i="1"/>
  <c r="C37" i="6" s="1"/>
  <c r="AQ9" i="1"/>
  <c r="C27" i="6" s="1"/>
  <c r="AZ10" i="1"/>
  <c r="C43" i="6" s="1"/>
  <c r="AZ8" i="1"/>
  <c r="C41" i="6" s="1"/>
  <c r="AW10" i="1"/>
  <c r="C38" i="6" s="1"/>
  <c r="AQ8" i="1"/>
  <c r="C26" i="6" s="1"/>
  <c r="AT8" i="1"/>
  <c r="C31" i="6" s="1"/>
  <c r="AT10" i="1"/>
  <c r="C33" i="6" s="1"/>
  <c r="AQ7" i="1"/>
  <c r="C25" i="6" s="1"/>
  <c r="AZ5" i="1"/>
  <c r="C23" i="6" s="1"/>
  <c r="AZ3" i="1"/>
  <c r="C21" i="6" s="1"/>
  <c r="AZ2" i="1"/>
  <c r="C20" i="6" s="1"/>
  <c r="AW4" i="1"/>
  <c r="C17" i="6" s="1"/>
  <c r="AW2" i="1"/>
  <c r="C15" i="6" s="1"/>
  <c r="AW5" i="1"/>
  <c r="C18" i="6" s="1"/>
  <c r="AW3" i="1"/>
  <c r="C16" i="6" s="1"/>
  <c r="AT5" i="1"/>
  <c r="C12" i="6" s="1"/>
  <c r="AT4" i="1"/>
  <c r="C11" i="6" s="1"/>
  <c r="AT3" i="1"/>
  <c r="C10" i="6" s="1"/>
  <c r="AT2" i="1"/>
  <c r="C9" i="6" s="1"/>
  <c r="AQ2" i="1"/>
  <c r="C3" i="6" s="1"/>
  <c r="AQ5" i="1"/>
  <c r="C6" i="6" s="1"/>
  <c r="AQ4" i="1"/>
  <c r="C5" i="6" s="1"/>
  <c r="AQ3" i="1"/>
  <c r="C4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<sst xmlns="http://schemas.openxmlformats.org/spreadsheetml/2006/main" count="622" uniqueCount="134">
  <si>
    <t>Shape</t>
  </si>
  <si>
    <t>O</t>
  </si>
  <si>
    <t>Z</t>
  </si>
  <si>
    <t>S</t>
  </si>
  <si>
    <t>L</t>
  </si>
  <si>
    <t>J</t>
  </si>
  <si>
    <t>T</t>
  </si>
  <si>
    <t>I</t>
  </si>
  <si>
    <t>db</t>
  </si>
  <si>
    <t>bk</t>
  </si>
  <si>
    <t>rk</t>
  </si>
  <si>
    <t>tk</t>
  </si>
  <si>
    <t>lk</t>
  </si>
  <si>
    <t>nk</t>
  </si>
  <si>
    <t>lk*1</t>
  </si>
  <si>
    <t>rk*1</t>
  </si>
  <si>
    <t>rk*2</t>
  </si>
  <si>
    <t>tk*1</t>
  </si>
  <si>
    <t>tk*2</t>
  </si>
  <si>
    <t>bk*1</t>
  </si>
  <si>
    <t>bk*2</t>
  </si>
  <si>
    <t>lk*2</t>
  </si>
  <si>
    <t>Orientation</t>
  </si>
  <si>
    <t>Axis</t>
  </si>
  <si>
    <t>Collission On</t>
  </si>
  <si>
    <t>x</t>
  </si>
  <si>
    <t>Shift Value</t>
  </si>
  <si>
    <t>y</t>
  </si>
  <si>
    <t>N.B.</t>
  </si>
  <si>
    <t>When calculating collision, positions starts from 4 = shape column 0 and then decreases to 1</t>
  </si>
  <si>
    <t>Interted + 1</t>
  </si>
  <si>
    <t>#</t>
  </si>
  <si>
    <t>*</t>
  </si>
  <si>
    <t>-</t>
  </si>
  <si>
    <t>Most that can be filled in 1 go is 4.</t>
  </si>
  <si>
    <t>So at most can copy down 4 rows or less.</t>
  </si>
  <si>
    <t>3. Move up 1 line</t>
  </si>
  <si>
    <t>5. if not at top goto 2</t>
  </si>
  <si>
    <t>1. Start from bottom. Dst row ptr = last line</t>
  </si>
  <si>
    <t>2.1 Otherwise decrement src row ptr</t>
  </si>
  <si>
    <t>2. If first char in line &lt;&gt; '*' then decrement src row ptr, decrement dst row ptr. Increment nr of cleared lines</t>
  </si>
  <si>
    <t>4. If nr cleared lines &gt; 0, copy from src row to dst row</t>
  </si>
  <si>
    <t>6. blank to top (number of cleared lines) rows. Srcptr = "blank row" dst ptr decremented as normal</t>
  </si>
  <si>
    <t>z1:</t>
  </si>
  <si>
    <t>z2:</t>
  </si>
  <si>
    <t>z3:</t>
  </si>
  <si>
    <t>zshape:</t>
  </si>
  <si>
    <t>z4:</t>
  </si>
  <si>
    <t>sshape:</t>
  </si>
  <si>
    <t>s1:</t>
  </si>
  <si>
    <t>s2:</t>
  </si>
  <si>
    <t>s3:</t>
  </si>
  <si>
    <t>s4:</t>
  </si>
  <si>
    <t>lshape:</t>
  </si>
  <si>
    <t>l1:</t>
  </si>
  <si>
    <t>l2:</t>
  </si>
  <si>
    <t>l3:</t>
  </si>
  <si>
    <t>l4:</t>
  </si>
  <si>
    <t>jshape:</t>
  </si>
  <si>
    <t>j1:</t>
  </si>
  <si>
    <t>j2:</t>
  </si>
  <si>
    <t>j3:</t>
  </si>
  <si>
    <t>j4:</t>
  </si>
  <si>
    <t>tshape:</t>
  </si>
  <si>
    <t>t1:</t>
  </si>
  <si>
    <t>t2:</t>
  </si>
  <si>
    <t>t3L</t>
  </si>
  <si>
    <t>t4:</t>
  </si>
  <si>
    <t>ishape:</t>
  </si>
  <si>
    <t>i1:</t>
  </si>
  <si>
    <t>i2:</t>
  </si>
  <si>
    <t>i3:</t>
  </si>
  <si>
    <t>i4:</t>
  </si>
  <si>
    <t>oshape:</t>
  </si>
  <si>
    <t>o1:</t>
  </si>
  <si>
    <t>o2:</t>
  </si>
  <si>
    <t>o3:</t>
  </si>
  <si>
    <t>o4:</t>
  </si>
  <si>
    <t>@</t>
  </si>
  <si>
    <t>X</t>
  </si>
  <si>
    <t>H</t>
  </si>
  <si>
    <t>+</t>
  </si>
  <si>
    <t>##</t>
  </si>
  <si>
    <t xml:space="preserve">  </t>
  </si>
  <si>
    <t xml:space="preserve"># </t>
  </si>
  <si>
    <t xml:space="preserve"> #</t>
  </si>
  <si>
    <t>|</t>
  </si>
  <si>
    <t>_</t>
  </si>
  <si>
    <t xml:space="preserve"> </t>
  </si>
  <si>
    <t>Char</t>
  </si>
  <si>
    <t>ASCII</t>
  </si>
  <si>
    <t>Binary</t>
  </si>
  <si>
    <t>Hex</t>
  </si>
  <si>
    <t>&lt;spc&gt;</t>
  </si>
  <si>
    <t>clrtbl:</t>
  </si>
  <si>
    <t>IRGB</t>
  </si>
  <si>
    <t>1001</t>
  </si>
  <si>
    <t>1010</t>
  </si>
  <si>
    <t>1011</t>
  </si>
  <si>
    <t>1100</t>
  </si>
  <si>
    <t>1101</t>
  </si>
  <si>
    <t>1110</t>
  </si>
  <si>
    <t>1111</t>
  </si>
  <si>
    <t>0001</t>
  </si>
  <si>
    <t>0010</t>
  </si>
  <si>
    <t>0111</t>
  </si>
  <si>
    <t>N/A</t>
  </si>
  <si>
    <t>default</t>
  </si>
  <si>
    <t>Colours</t>
  </si>
  <si>
    <t>$</t>
  </si>
  <si>
    <t>scr1:</t>
  </si>
  <si>
    <t>scr2:</t>
  </si>
  <si>
    <t>scr0:</t>
  </si>
  <si>
    <t>scr3:</t>
  </si>
  <si>
    <t>scr4:</t>
  </si>
  <si>
    <t>scr5:</t>
  </si>
  <si>
    <t>scr6:</t>
  </si>
  <si>
    <t>scr7:</t>
  </si>
  <si>
    <t>scr8:</t>
  </si>
  <si>
    <t>scr9:</t>
  </si>
  <si>
    <t>0000</t>
  </si>
  <si>
    <t>=</t>
  </si>
  <si>
    <t>Variables:</t>
  </si>
  <si>
    <t>srcrow - row to copy from</t>
  </si>
  <si>
    <t>dstrow - row to copy to</t>
  </si>
  <si>
    <t>nrclr - number of rows cleared (1 - 4)</t>
  </si>
  <si>
    <t>(Note Using '-' instead of '*' character in code)</t>
  </si>
  <si>
    <t>This is the kick table for shape 5</t>
  </si>
  <si>
    <t>[</t>
  </si>
  <si>
    <t>]</t>
  </si>
  <si>
    <t>Numbers for Scores</t>
  </si>
  <si>
    <t>Asm (Note using 'x' instead of &lt;spc&gt; as &lt;spc&gt; is mapped to grey. Have mapped 'x' to blank)</t>
  </si>
  <si>
    <t>Characters used in each shape</t>
  </si>
  <si>
    <t>-&gt; Kick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</si>
</sst>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 style="thick">
        <color auto="1"/>
      </left>
      <right style="dotted">
        <color auto="1"/>
      </right>
      <top style="thick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thick">
        <color auto="1"/>
      </top>
      <bottom style="dotted">
        <color auto="1"/>
      </bottom>
      <diagonal/>
    </border>
    <border>
      <left style="dotted">
        <color auto="1"/>
      </left>
      <right style="thick">
        <color auto="1"/>
      </right>
      <top style="thick">
        <color auto="1"/>
      </top>
      <bottom style="dotted">
        <color auto="1"/>
      </bottom>
      <diagonal/>
    </border>
    <border>
      <left style="thick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thick">
        <color auto="1"/>
      </right>
      <top style="dotted">
        <color auto="1"/>
      </top>
      <bottom style="dotted">
        <color auto="1"/>
      </bottom>
      <diagonal/>
    </border>
    <border>
      <left style="thick">
        <color auto="1"/>
      </left>
      <right style="dotted">
        <color auto="1"/>
      </right>
      <top style="dotted">
        <color auto="1"/>
      </top>
      <bottom style="thick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ck">
        <color auto="1"/>
      </bottom>
      <diagonal/>
    </border>
    <border>
      <left style="dotted">
        <color auto="1"/>
      </left>
      <right style="thick">
        <color auto="1"/>
      </right>
      <top style="dotted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quotePrefix="1"/>
    <xf numFmtId="0" fontId="0" fillId="0" borderId="0" xfId="0" quotePrefix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5A3B4-A26B-45DE-9095-14BBD7CA5D2F}">
  <sheetPr codeName="Sheet2"/>
  <dimension ref="A1:AZ41"/>
  <sheetViews>
    <sheetView tabSelected="1" workbookViewId="0">
      <selection activeCell="AG11" sqref="AG11"/>
    </sheetView>
  </sheetViews>
  <sheetFormatPr defaultRowHeight="15" customHeight="1" x14ac:dyDescent="0.45"/>
  <cols>
    <col min="2" max="5" width="2.6640625" style="1" customWidth="1"/>
    <col min="6" max="6" width="9.06640625" style="1"/>
    <col min="7" max="10" width="2.6640625" style="1" customWidth="1"/>
    <col min="11" max="11" width="9.06640625" style="1"/>
    <col min="12" max="15" width="2.6640625" style="1" customWidth="1"/>
    <col min="16" max="16" width="9.06640625" style="1"/>
    <col min="17" max="20" width="2.6640625" style="1" customWidth="1"/>
    <col min="21" max="21" width="9.06640625" style="17"/>
    <col min="22" max="25" width="2.46484375" customWidth="1"/>
    <col min="27" max="30" width="2.46484375" customWidth="1"/>
    <col min="32" max="35" width="2.46484375" customWidth="1"/>
    <col min="37" max="40" width="2.46484375" customWidth="1"/>
  </cols>
  <sheetData>
    <row r="1" spans="1:52" ht="15" customHeight="1" thickBot="1" x14ac:dyDescent="0.5">
      <c r="A1" t="s">
        <v>0</v>
      </c>
      <c r="F1" s="19" t="s">
        <v>133</v>
      </c>
      <c r="K1" s="19" t="s">
        <v>133</v>
      </c>
      <c r="P1" s="19" t="s">
        <v>133</v>
      </c>
      <c r="U1" s="19" t="s">
        <v>133</v>
      </c>
    </row>
    <row r="2" spans="1:52" ht="15" customHeight="1" thickTop="1" x14ac:dyDescent="0.45">
      <c r="A2" t="s">
        <v>2</v>
      </c>
      <c r="B2" s="16"/>
      <c r="C2" s="14"/>
      <c r="D2" s="3"/>
      <c r="E2" s="4"/>
      <c r="G2" s="2"/>
      <c r="H2" s="3"/>
      <c r="I2" s="14"/>
      <c r="J2" s="4"/>
      <c r="L2" s="2"/>
      <c r="M2" s="3"/>
      <c r="N2" s="3"/>
      <c r="O2" s="4"/>
      <c r="Q2" s="2"/>
      <c r="R2" s="14"/>
      <c r="S2" s="3"/>
      <c r="T2" s="4"/>
      <c r="V2" t="str" cm="1">
        <f t="array" aca="1" ref="V2" ca="1">IF(FillColor(B2)&gt;0, VLOOKUP("Z",'Tetromino Chars'!$A$1:$B$7,2,FALSE), " ")</f>
        <v>#</v>
      </c>
      <c r="W2" t="str" cm="1">
        <f t="array" aca="1" ref="W2" ca="1">IF(FillColor(C2)&gt;0, VLOOKUP("Z",'Tetromino Chars'!$A$1:$B$7,2,FALSE), " ")</f>
        <v>#</v>
      </c>
      <c r="X2" t="str" cm="1">
        <f t="array" aca="1" ref="X2" ca="1">IF(FillColor(D2)&gt;0, VLOOKUP("Z",'Tetromino Chars'!$A$1:$B$7,2,FALSE), " ")</f>
        <v xml:space="preserve"> </v>
      </c>
      <c r="Y2" t="str" cm="1">
        <f t="array" aca="1" ref="Y2" ca="1">IF(FillColor(E2)&gt;0, VLOOKUP("Z",'Tetromino Chars'!$A$1:$B$7,2,FALSE), " ")</f>
        <v xml:space="preserve"> </v>
      </c>
      <c r="AA2" t="str" cm="1">
        <f t="array" aca="1" ref="AA2" ca="1">IF(FillColor(G2)&gt;0, VLOOKUP("Z",'Tetromino Chars'!$A$1:$B$7,2,FALSE), " ")</f>
        <v xml:space="preserve"> </v>
      </c>
      <c r="AB2" t="str" cm="1">
        <f t="array" aca="1" ref="AB2" ca="1">IF(FillColor(H2)&gt;0, VLOOKUP("Z",'Tetromino Chars'!$A$1:$B$7,2,FALSE), " ")</f>
        <v xml:space="preserve"> </v>
      </c>
      <c r="AC2" t="str" cm="1">
        <f t="array" aca="1" ref="AC2" ca="1">IF(FillColor(I2)&gt;0, VLOOKUP("Z",'Tetromino Chars'!$A$1:$B$7,2,FALSE), " ")</f>
        <v>#</v>
      </c>
      <c r="AD2" t="str" cm="1">
        <f t="array" aca="1" ref="AD2" ca="1">IF(FillColor(J2)&gt;0, VLOOKUP("Z",'Tetromino Chars'!$A$1:$B$7,2,FALSE), " ")</f>
        <v xml:space="preserve"> </v>
      </c>
      <c r="AF2" t="str" cm="1">
        <f t="array" aca="1" ref="AF2" ca="1">IF(FillColor(L2)&gt;0, VLOOKUP("Z",'Tetromino Chars'!$A$1:$B$7,2,FALSE), " ")</f>
        <v xml:space="preserve"> </v>
      </c>
      <c r="AG2" t="str" cm="1">
        <f t="array" aca="1" ref="AG2" ca="1">IF(FillColor(M2)&gt;0, VLOOKUP("Z",'Tetromino Chars'!$A$1:$B$7,2,FALSE), " ")</f>
        <v xml:space="preserve"> </v>
      </c>
      <c r="AH2" t="str" cm="1">
        <f t="array" aca="1" ref="AH2" ca="1">IF(FillColor(N2)&gt;0, VLOOKUP("Z",'Tetromino Chars'!$A$1:$B$7,2,FALSE), " ")</f>
        <v xml:space="preserve"> </v>
      </c>
      <c r="AI2" t="str" cm="1">
        <f t="array" aca="1" ref="AI2" ca="1">IF(FillColor(O2)&gt;0, VLOOKUP("Z",'Tetromino Chars'!$A$1:$B$7,2,FALSE), " ")</f>
        <v xml:space="preserve"> </v>
      </c>
      <c r="AK2" t="str" cm="1">
        <f t="array" aca="1" ref="AK2" ca="1">IF(FillColor(Q2)&gt;0, VLOOKUP("Z",'Tetromino Chars'!$A$1:$B$7,2,FALSE), " ")</f>
        <v xml:space="preserve"> </v>
      </c>
      <c r="AL2" t="str" cm="1">
        <f t="array" aca="1" ref="AL2" ca="1">IF(FillColor(R2)&gt;0, VLOOKUP("Z",'Tetromino Chars'!$A$1:$B$7,2,FALSE), " ")</f>
        <v>#</v>
      </c>
      <c r="AM2" t="str" cm="1">
        <f t="array" aca="1" ref="AM2" ca="1">IF(FillColor(S2)&gt;0, VLOOKUP("Z",'Tetromino Chars'!$A$1:$B$7,2,FALSE), " ")</f>
        <v xml:space="preserve"> </v>
      </c>
      <c r="AN2" t="str" cm="1">
        <f t="array" aca="1" ref="AN2" ca="1">IF(FillColor(T2)&gt;0, VLOOKUP("Z",'Tetromino Chars'!$A$1:$B$7,2,FALSE), " ")</f>
        <v xml:space="preserve"> </v>
      </c>
      <c r="AP2" t="s">
        <v>8</v>
      </c>
      <c r="AQ2" t="str">
        <f ca="1">"'"&amp;CONCATENATE(V2,W2,X2,Y2)&amp;"'"</f>
        <v>'##  '</v>
      </c>
      <c r="AS2" t="s">
        <v>8</v>
      </c>
      <c r="AT2" t="str">
        <f ca="1">"'"&amp;CONCATENATE(AA2,AB2,AC2,AD2)&amp;"'"</f>
        <v>'  # '</v>
      </c>
      <c r="AV2" t="s">
        <v>8</v>
      </c>
      <c r="AW2" t="str">
        <f ca="1">"'"&amp;CONCATENATE(AF2,AG2,AH2,AI2)&amp;"'"</f>
        <v>'    '</v>
      </c>
      <c r="AY2" t="s">
        <v>8</v>
      </c>
      <c r="AZ2" t="str">
        <f ca="1">"'"&amp;CONCATENATE(AK2,AL2,AM2,AN2)&amp;"'"</f>
        <v>' #  '</v>
      </c>
    </row>
    <row r="3" spans="1:52" ht="15" customHeight="1" x14ac:dyDescent="0.45">
      <c r="B3" s="5"/>
      <c r="C3" s="12"/>
      <c r="D3" s="12"/>
      <c r="E3" s="6"/>
      <c r="F3" s="1" t="s">
        <v>10</v>
      </c>
      <c r="G3" s="5"/>
      <c r="H3" s="12"/>
      <c r="I3" s="12"/>
      <c r="J3" s="6"/>
      <c r="K3" s="1" t="s">
        <v>9</v>
      </c>
      <c r="L3" s="11"/>
      <c r="M3" s="12"/>
      <c r="N3" s="10"/>
      <c r="O3" s="6"/>
      <c r="P3" s="1" t="s">
        <v>12</v>
      </c>
      <c r="Q3" s="11"/>
      <c r="R3" s="12"/>
      <c r="S3" s="10"/>
      <c r="T3" s="6"/>
      <c r="U3" s="17" t="s">
        <v>11</v>
      </c>
      <c r="V3" t="str" cm="1">
        <f t="array" aca="1" ref="V3" ca="1">IF(FillColor(B3)&gt;0, VLOOKUP("Z",'Tetromino Chars'!$A$1:$B$7,2,FALSE), " ")</f>
        <v xml:space="preserve"> </v>
      </c>
      <c r="W3" t="str" cm="1">
        <f t="array" aca="1" ref="W3" ca="1">IF(FillColor(C3)&gt;0, VLOOKUP("Z",'Tetromino Chars'!$A$1:$B$7,2,FALSE), " ")</f>
        <v>#</v>
      </c>
      <c r="X3" t="str" cm="1">
        <f t="array" aca="1" ref="X3" ca="1">IF(FillColor(D3)&gt;0, VLOOKUP("Z",'Tetromino Chars'!$A$1:$B$7,2,FALSE), " ")</f>
        <v>#</v>
      </c>
      <c r="Y3" t="str" cm="1">
        <f t="array" aca="1" ref="Y3" ca="1">IF(FillColor(E3)&gt;0, VLOOKUP("Z",'Tetromino Chars'!$A$1:$B$7,2,FALSE), " ")</f>
        <v xml:space="preserve"> </v>
      </c>
      <c r="AA3" t="str" cm="1">
        <f t="array" aca="1" ref="AA3" ca="1">IF(FillColor(G3)&gt;0, VLOOKUP("Z",'Tetromino Chars'!$A$1:$B$7,2,FALSE), " ")</f>
        <v xml:space="preserve"> </v>
      </c>
      <c r="AB3" t="str" cm="1">
        <f t="array" aca="1" ref="AB3" ca="1">IF(FillColor(H3)&gt;0, VLOOKUP("Z",'Tetromino Chars'!$A$1:$B$7,2,FALSE), " ")</f>
        <v>#</v>
      </c>
      <c r="AC3" t="str" cm="1">
        <f t="array" aca="1" ref="AC3" ca="1">IF(FillColor(I3)&gt;0, VLOOKUP("Z",'Tetromino Chars'!$A$1:$B$7,2,FALSE), " ")</f>
        <v>#</v>
      </c>
      <c r="AD3" t="str" cm="1">
        <f t="array" aca="1" ref="AD3" ca="1">IF(FillColor(J3)&gt;0, VLOOKUP("Z",'Tetromino Chars'!$A$1:$B$7,2,FALSE), " ")</f>
        <v xml:space="preserve"> </v>
      </c>
      <c r="AF3" t="str" cm="1">
        <f t="array" aca="1" ref="AF3" ca="1">IF(FillColor(L3)&gt;0, VLOOKUP("Z",'Tetromino Chars'!$A$1:$B$7,2,FALSE), " ")</f>
        <v>#</v>
      </c>
      <c r="AG3" t="str" cm="1">
        <f t="array" aca="1" ref="AG3" ca="1">IF(FillColor(M3)&gt;0, VLOOKUP("Z",'Tetromino Chars'!$A$1:$B$7,2,FALSE), " ")</f>
        <v>#</v>
      </c>
      <c r="AH3" t="str" cm="1">
        <f t="array" aca="1" ref="AH3" ca="1">IF(FillColor(N3)&gt;0, VLOOKUP("Z",'Tetromino Chars'!$A$1:$B$7,2,FALSE), " ")</f>
        <v xml:space="preserve"> </v>
      </c>
      <c r="AI3" t="str" cm="1">
        <f t="array" aca="1" ref="AI3" ca="1">IF(FillColor(O3)&gt;0, VLOOKUP("Z",'Tetromino Chars'!$A$1:$B$7,2,FALSE), " ")</f>
        <v xml:space="preserve"> </v>
      </c>
      <c r="AK3" t="str" cm="1">
        <f t="array" aca="1" ref="AK3" ca="1">IF(FillColor(Q3)&gt;0, VLOOKUP("Z",'Tetromino Chars'!$A$1:$B$7,2,FALSE), " ")</f>
        <v>#</v>
      </c>
      <c r="AL3" t="str" cm="1">
        <f t="array" aca="1" ref="AL3" ca="1">IF(FillColor(R3)&gt;0, VLOOKUP("Z",'Tetromino Chars'!$A$1:$B$7,2,FALSE), " ")</f>
        <v>#</v>
      </c>
      <c r="AM3" t="str" cm="1">
        <f t="array" aca="1" ref="AM3" ca="1">IF(FillColor(S3)&gt;0, VLOOKUP("Z",'Tetromino Chars'!$A$1:$B$7,2,FALSE), " ")</f>
        <v xml:space="preserve"> </v>
      </c>
      <c r="AN3" t="str" cm="1">
        <f t="array" aca="1" ref="AN3" ca="1">IF(FillColor(T3)&gt;0, VLOOKUP("Z",'Tetromino Chars'!$A$1:$B$7,2,FALSE), " ")</f>
        <v xml:space="preserve"> </v>
      </c>
      <c r="AP3" t="s">
        <v>8</v>
      </c>
      <c r="AQ3" t="str">
        <f ca="1">"'"&amp;CONCATENATE(V3,W3,X3,Y3)&amp;"'"</f>
        <v>' ## '</v>
      </c>
      <c r="AS3" t="s">
        <v>8</v>
      </c>
      <c r="AT3" t="str">
        <f t="shared" ref="AT3:AT5" ca="1" si="0">"'"&amp;CONCATENATE(AA3,AB3,AC3,AD3)&amp;"'"</f>
        <v>' ## '</v>
      </c>
      <c r="AV3" t="s">
        <v>8</v>
      </c>
      <c r="AW3" t="str">
        <f t="shared" ref="AW3:AW5" ca="1" si="1">"'"&amp;CONCATENATE(AF3,AG3,AH3,AI3)&amp;"'"</f>
        <v>'##  '</v>
      </c>
      <c r="AY3" t="s">
        <v>8</v>
      </c>
      <c r="AZ3" t="str">
        <f t="shared" ref="AZ3:AZ5" ca="1" si="2">"'"&amp;CONCATENATE(AK3,AL3,AM3,AN3)&amp;"'"</f>
        <v>'##  '</v>
      </c>
    </row>
    <row r="4" spans="1:52" ht="15" customHeight="1" x14ac:dyDescent="0.45">
      <c r="B4" s="5"/>
      <c r="C4" s="10"/>
      <c r="D4" s="10"/>
      <c r="E4" s="6"/>
      <c r="G4" s="5"/>
      <c r="H4" s="12"/>
      <c r="I4" s="10"/>
      <c r="J4" s="6"/>
      <c r="L4" s="5"/>
      <c r="M4" s="12"/>
      <c r="N4" s="12"/>
      <c r="O4" s="6"/>
      <c r="Q4" s="11"/>
      <c r="R4" s="10"/>
      <c r="S4" s="10"/>
      <c r="T4" s="6"/>
      <c r="V4" t="str" cm="1">
        <f t="array" aca="1" ref="V4" ca="1">IF(FillColor(B4)&gt;0, VLOOKUP("Z",'Tetromino Chars'!$A$1:$B$7,2,FALSE), " ")</f>
        <v xml:space="preserve"> </v>
      </c>
      <c r="W4" t="str" cm="1">
        <f t="array" aca="1" ref="W4" ca="1">IF(FillColor(C4)&gt;0, VLOOKUP("Z",'Tetromino Chars'!$A$1:$B$7,2,FALSE), " ")</f>
        <v xml:space="preserve"> </v>
      </c>
      <c r="X4" t="str" cm="1">
        <f t="array" aca="1" ref="X4" ca="1">IF(FillColor(D4)&gt;0, VLOOKUP("Z",'Tetromino Chars'!$A$1:$B$7,2,FALSE), " ")</f>
        <v xml:space="preserve"> </v>
      </c>
      <c r="Y4" t="str" cm="1">
        <f t="array" aca="1" ref="Y4" ca="1">IF(FillColor(E4)&gt;0, VLOOKUP("Z",'Tetromino Chars'!$A$1:$B$7,2,FALSE), " ")</f>
        <v xml:space="preserve"> </v>
      </c>
      <c r="AA4" t="str" cm="1">
        <f t="array" aca="1" ref="AA4" ca="1">IF(FillColor(G4)&gt;0, VLOOKUP("Z",'Tetromino Chars'!$A$1:$B$7,2,FALSE), " ")</f>
        <v xml:space="preserve"> </v>
      </c>
      <c r="AB4" t="str" cm="1">
        <f t="array" aca="1" ref="AB4" ca="1">IF(FillColor(H4)&gt;0, VLOOKUP("Z",'Tetromino Chars'!$A$1:$B$7,2,FALSE), " ")</f>
        <v>#</v>
      </c>
      <c r="AC4" t="str" cm="1">
        <f t="array" aca="1" ref="AC4" ca="1">IF(FillColor(I4)&gt;0, VLOOKUP("Z",'Tetromino Chars'!$A$1:$B$7,2,FALSE), " ")</f>
        <v xml:space="preserve"> </v>
      </c>
      <c r="AD4" t="str" cm="1">
        <f t="array" aca="1" ref="AD4" ca="1">IF(FillColor(J4)&gt;0, VLOOKUP("Z",'Tetromino Chars'!$A$1:$B$7,2,FALSE), " ")</f>
        <v xml:space="preserve"> </v>
      </c>
      <c r="AF4" t="str" cm="1">
        <f t="array" aca="1" ref="AF4" ca="1">IF(FillColor(L4)&gt;0, VLOOKUP("Z",'Tetromino Chars'!$A$1:$B$7,2,FALSE), " ")</f>
        <v xml:space="preserve"> </v>
      </c>
      <c r="AG4" t="str" cm="1">
        <f t="array" aca="1" ref="AG4" ca="1">IF(FillColor(M4)&gt;0, VLOOKUP("Z",'Tetromino Chars'!$A$1:$B$7,2,FALSE), " ")</f>
        <v>#</v>
      </c>
      <c r="AH4" t="str" cm="1">
        <f t="array" aca="1" ref="AH4" ca="1">IF(FillColor(N4)&gt;0, VLOOKUP("Z",'Tetromino Chars'!$A$1:$B$7,2,FALSE), " ")</f>
        <v>#</v>
      </c>
      <c r="AI4" t="str" cm="1">
        <f t="array" aca="1" ref="AI4" ca="1">IF(FillColor(O4)&gt;0, VLOOKUP("Z",'Tetromino Chars'!$A$1:$B$7,2,FALSE), " ")</f>
        <v xml:space="preserve"> </v>
      </c>
      <c r="AK4" t="str" cm="1">
        <f t="array" aca="1" ref="AK4" ca="1">IF(FillColor(Q4)&gt;0, VLOOKUP("Z",'Tetromino Chars'!$A$1:$B$7,2,FALSE), " ")</f>
        <v>#</v>
      </c>
      <c r="AL4" t="str" cm="1">
        <f t="array" aca="1" ref="AL4" ca="1">IF(FillColor(R4)&gt;0, VLOOKUP("Z",'Tetromino Chars'!$A$1:$B$7,2,FALSE), " ")</f>
        <v xml:space="preserve"> </v>
      </c>
      <c r="AM4" t="str" cm="1">
        <f t="array" aca="1" ref="AM4" ca="1">IF(FillColor(S4)&gt;0, VLOOKUP("Z",'Tetromino Chars'!$A$1:$B$7,2,FALSE), " ")</f>
        <v xml:space="preserve"> </v>
      </c>
      <c r="AN4" t="str" cm="1">
        <f t="array" aca="1" ref="AN4" ca="1">IF(FillColor(T4)&gt;0, VLOOKUP("Z",'Tetromino Chars'!$A$1:$B$7,2,FALSE), " ")</f>
        <v xml:space="preserve"> </v>
      </c>
      <c r="AP4" t="s">
        <v>8</v>
      </c>
      <c r="AQ4" t="str">
        <f ca="1">"'"&amp;CONCATENATE(V4,W4,X4,Y4)&amp;"'"</f>
        <v>'    '</v>
      </c>
      <c r="AS4" t="s">
        <v>8</v>
      </c>
      <c r="AT4" t="str">
        <f t="shared" ca="1" si="0"/>
        <v>' #  '</v>
      </c>
      <c r="AV4" t="s">
        <v>8</v>
      </c>
      <c r="AW4" t="str">
        <f t="shared" ca="1" si="1"/>
        <v>' ## '</v>
      </c>
      <c r="AY4" t="s">
        <v>8</v>
      </c>
      <c r="AZ4" t="str">
        <f t="shared" ca="1" si="2"/>
        <v>'#   '</v>
      </c>
    </row>
    <row r="5" spans="1:52" ht="15" customHeight="1" thickBot="1" x14ac:dyDescent="0.5">
      <c r="B5" s="7"/>
      <c r="C5" s="8"/>
      <c r="D5" s="8"/>
      <c r="E5" s="9"/>
      <c r="G5" s="7"/>
      <c r="H5" s="8"/>
      <c r="I5" s="8"/>
      <c r="J5" s="9"/>
      <c r="L5" s="7"/>
      <c r="M5" s="8"/>
      <c r="N5" s="8"/>
      <c r="O5" s="9"/>
      <c r="Q5" s="7"/>
      <c r="R5" s="8"/>
      <c r="S5" s="8"/>
      <c r="T5" s="9"/>
      <c r="V5" t="str" cm="1">
        <f t="array" aca="1" ref="V5" ca="1">IF(FillColor(B5)&gt;0, VLOOKUP("Z",'Tetromino Chars'!$A$1:$B$7,2,FALSE), " ")</f>
        <v xml:space="preserve"> </v>
      </c>
      <c r="W5" t="str" cm="1">
        <f t="array" aca="1" ref="W5" ca="1">IF(FillColor(C5)&gt;0, VLOOKUP("Z",'Tetromino Chars'!$A$1:$B$7,2,FALSE), " ")</f>
        <v xml:space="preserve"> </v>
      </c>
      <c r="X5" t="str" cm="1">
        <f t="array" aca="1" ref="X5" ca="1">IF(FillColor(D5)&gt;0, VLOOKUP("Z",'Tetromino Chars'!$A$1:$B$7,2,FALSE), " ")</f>
        <v xml:space="preserve"> </v>
      </c>
      <c r="Y5" t="str" cm="1">
        <f t="array" aca="1" ref="Y5" ca="1">IF(FillColor(E5)&gt;0, VLOOKUP("Z",'Tetromino Chars'!$A$1:$B$7,2,FALSE), " ")</f>
        <v xml:space="preserve"> </v>
      </c>
      <c r="AA5" t="str" cm="1">
        <f t="array" aca="1" ref="AA5" ca="1">IF(FillColor(G5)&gt;0, VLOOKUP("Z",'Tetromino Chars'!$A$1:$B$7,2,FALSE), " ")</f>
        <v xml:space="preserve"> </v>
      </c>
      <c r="AB5" t="str" cm="1">
        <f t="array" aca="1" ref="AB5" ca="1">IF(FillColor(H5)&gt;0, VLOOKUP("Z",'Tetromino Chars'!$A$1:$B$7,2,FALSE), " ")</f>
        <v xml:space="preserve"> </v>
      </c>
      <c r="AC5" t="str" cm="1">
        <f t="array" aca="1" ref="AC5" ca="1">IF(FillColor(I5)&gt;0, VLOOKUP("Z",'Tetromino Chars'!$A$1:$B$7,2,FALSE), " ")</f>
        <v xml:space="preserve"> </v>
      </c>
      <c r="AD5" t="str" cm="1">
        <f t="array" aca="1" ref="AD5" ca="1">IF(FillColor(J5)&gt;0, VLOOKUP("Z",'Tetromino Chars'!$A$1:$B$7,2,FALSE), " ")</f>
        <v xml:space="preserve"> </v>
      </c>
      <c r="AF5" t="str" cm="1">
        <f t="array" aca="1" ref="AF5" ca="1">IF(FillColor(L5)&gt;0, VLOOKUP("Z",'Tetromino Chars'!$A$1:$B$7,2,FALSE), " ")</f>
        <v xml:space="preserve"> </v>
      </c>
      <c r="AG5" t="str" cm="1">
        <f t="array" aca="1" ref="AG5" ca="1">IF(FillColor(M5)&gt;0, VLOOKUP("Z",'Tetromino Chars'!$A$1:$B$7,2,FALSE), " ")</f>
        <v xml:space="preserve"> </v>
      </c>
      <c r="AH5" t="str" cm="1">
        <f t="array" aca="1" ref="AH5" ca="1">IF(FillColor(N5)&gt;0, VLOOKUP("Z",'Tetromino Chars'!$A$1:$B$7,2,FALSE), " ")</f>
        <v xml:space="preserve"> </v>
      </c>
      <c r="AI5" t="str" cm="1">
        <f t="array" aca="1" ref="AI5" ca="1">IF(FillColor(O5)&gt;0, VLOOKUP("Z",'Tetromino Chars'!$A$1:$B$7,2,FALSE), " ")</f>
        <v xml:space="preserve"> </v>
      </c>
      <c r="AK5" t="str" cm="1">
        <f t="array" aca="1" ref="AK5" ca="1">IF(FillColor(Q5)&gt;0, VLOOKUP("Z",'Tetromino Chars'!$A$1:$B$7,2,FALSE), " ")</f>
        <v xml:space="preserve"> </v>
      </c>
      <c r="AL5" t="str" cm="1">
        <f t="array" aca="1" ref="AL5" ca="1">IF(FillColor(R5)&gt;0, VLOOKUP("Z",'Tetromino Chars'!$A$1:$B$7,2,FALSE), " ")</f>
        <v xml:space="preserve"> </v>
      </c>
      <c r="AM5" t="str" cm="1">
        <f t="array" aca="1" ref="AM5" ca="1">IF(FillColor(S5)&gt;0, VLOOKUP("Z",'Tetromino Chars'!$A$1:$B$7,2,FALSE), " ")</f>
        <v xml:space="preserve"> </v>
      </c>
      <c r="AN5" t="str" cm="1">
        <f t="array" aca="1" ref="AN5" ca="1">IF(FillColor(T5)&gt;0, VLOOKUP("Z",'Tetromino Chars'!$A$1:$B$7,2,FALSE), " ")</f>
        <v xml:space="preserve"> </v>
      </c>
      <c r="AP5" t="s">
        <v>8</v>
      </c>
      <c r="AQ5" t="str">
        <f ca="1">"'"&amp;CONCATENATE(V5,W5,X5,Y5)&amp;"'"</f>
        <v>'    '</v>
      </c>
      <c r="AS5" t="s">
        <v>8</v>
      </c>
      <c r="AT5" t="str">
        <f t="shared" ca="1" si="0"/>
        <v>'    '</v>
      </c>
      <c r="AV5" t="s">
        <v>8</v>
      </c>
      <c r="AW5" t="str">
        <f t="shared" ca="1" si="1"/>
        <v>'    '</v>
      </c>
      <c r="AY5" t="s">
        <v>8</v>
      </c>
      <c r="AZ5" t="str">
        <f t="shared" ca="1" si="2"/>
        <v>'    '</v>
      </c>
    </row>
    <row r="6" spans="1:52" ht="15" customHeight="1" thickTop="1" thickBot="1" x14ac:dyDescent="0.5"/>
    <row r="7" spans="1:52" ht="15" customHeight="1" thickTop="1" x14ac:dyDescent="0.45">
      <c r="A7" t="s">
        <v>3</v>
      </c>
      <c r="B7" s="2"/>
      <c r="C7" s="14"/>
      <c r="D7" s="14"/>
      <c r="E7" s="4"/>
      <c r="G7" s="2"/>
      <c r="H7" s="14"/>
      <c r="I7" s="3"/>
      <c r="J7" s="4"/>
      <c r="L7" s="2"/>
      <c r="M7" s="3"/>
      <c r="N7" s="3"/>
      <c r="O7" s="4"/>
      <c r="Q7" s="16"/>
      <c r="R7" s="3"/>
      <c r="S7" s="3"/>
      <c r="T7" s="4"/>
      <c r="V7" t="str" cm="1">
        <f t="array" aca="1" ref="V7" ca="1">IF(FillColor(B7)&gt;0, VLOOKUP("S",'Tetromino Chars'!$A$1:$B$7,2,FALSE), " ")</f>
        <v xml:space="preserve"> </v>
      </c>
      <c r="W7" t="str" cm="1">
        <f t="array" aca="1" ref="W7" ca="1">IF(FillColor(C7)&gt;0, VLOOKUP("S",'Tetromino Chars'!$A$1:$B$7,2,FALSE), " ")</f>
        <v>*</v>
      </c>
      <c r="X7" t="str" cm="1">
        <f t="array" aca="1" ref="X7" ca="1">IF(FillColor(D7)&gt;0, VLOOKUP("S",'Tetromino Chars'!$A$1:$B$7,2,FALSE), " ")</f>
        <v>*</v>
      </c>
      <c r="Y7" t="str" cm="1">
        <f t="array" aca="1" ref="Y7" ca="1">IF(FillColor(E7)&gt;0, VLOOKUP("S",'Tetromino Chars'!$A$1:$B$7,2,FALSE), " ")</f>
        <v xml:space="preserve"> </v>
      </c>
      <c r="AA7" t="str" cm="1">
        <f t="array" aca="1" ref="AA7" ca="1">IF(FillColor(G7)&gt;0, VLOOKUP("S",'Tetromino Chars'!$A$1:$B$7,2,FALSE), " ")</f>
        <v xml:space="preserve"> </v>
      </c>
      <c r="AB7" t="str" cm="1">
        <f t="array" aca="1" ref="AB7" ca="1">IF(FillColor(H7)&gt;0, VLOOKUP("S",'Tetromino Chars'!$A$1:$B$7,2,FALSE), " ")</f>
        <v>*</v>
      </c>
      <c r="AC7" t="str" cm="1">
        <f t="array" aca="1" ref="AC7" ca="1">IF(FillColor(I7)&gt;0, VLOOKUP("S",'Tetromino Chars'!$A$1:$B$7,2,FALSE), " ")</f>
        <v xml:space="preserve"> </v>
      </c>
      <c r="AD7" t="str" cm="1">
        <f t="array" aca="1" ref="AD7" ca="1">IF(FillColor(J7)&gt;0, VLOOKUP("S",'Tetromino Chars'!$A$1:$B$7,2,FALSE), " ")</f>
        <v xml:space="preserve"> </v>
      </c>
      <c r="AF7" t="str" cm="1">
        <f t="array" aca="1" ref="AF7" ca="1">IF(FillColor(L7)&gt;0, VLOOKUP("S",'Tetromino Chars'!$A$1:$B$7,2,FALSE), " ")</f>
        <v xml:space="preserve"> </v>
      </c>
      <c r="AG7" t="str" cm="1">
        <f t="array" aca="1" ref="AG7" ca="1">IF(FillColor(M7)&gt;0, VLOOKUP("S",'Tetromino Chars'!$A$1:$B$7,2,FALSE), " ")</f>
        <v xml:space="preserve"> </v>
      </c>
      <c r="AH7" t="str" cm="1">
        <f t="array" aca="1" ref="AH7" ca="1">IF(FillColor(N7)&gt;0, VLOOKUP("S",'Tetromino Chars'!$A$1:$B$7,2,FALSE), " ")</f>
        <v xml:space="preserve"> </v>
      </c>
      <c r="AI7" t="str" cm="1">
        <f t="array" aca="1" ref="AI7" ca="1">IF(FillColor(O7)&gt;0, VLOOKUP("S",'Tetromino Chars'!$A$1:$B$7,2,FALSE), " ")</f>
        <v xml:space="preserve"> </v>
      </c>
      <c r="AK7" t="str" cm="1">
        <f t="array" aca="1" ref="AK7" ca="1">IF(FillColor(Q7)&gt;0, VLOOKUP("S",'Tetromino Chars'!$A$1:$B$7,2,FALSE), " ")</f>
        <v>*</v>
      </c>
      <c r="AL7" t="str" cm="1">
        <f t="array" aca="1" ref="AL7" ca="1">IF(FillColor(R7)&gt;0, VLOOKUP("S",'Tetromino Chars'!$A$1:$B$7,2,FALSE), " ")</f>
        <v xml:space="preserve"> </v>
      </c>
      <c r="AM7" t="str" cm="1">
        <f t="array" aca="1" ref="AM7" ca="1">IF(FillColor(S7)&gt;0, VLOOKUP("S",'Tetromino Chars'!$A$1:$B$7,2,FALSE), " ")</f>
        <v xml:space="preserve"> </v>
      </c>
      <c r="AN7" t="str" cm="1">
        <f t="array" aca="1" ref="AN7" ca="1">IF(FillColor(T7)&gt;0, VLOOKUP("S",'Tetromino Chars'!$A$1:$B$7,2,FALSE), " ")</f>
        <v xml:space="preserve"> </v>
      </c>
      <c r="AP7" t="s">
        <v>8</v>
      </c>
      <c r="AQ7" t="str">
        <f ca="1">"'"&amp;CONCATENATE(V7,W7,X7,Y7)&amp;"'"</f>
        <v>' ** '</v>
      </c>
      <c r="AS7" t="s">
        <v>8</v>
      </c>
      <c r="AT7" t="str">
        <f ca="1">"'"&amp;CONCATENATE(AA7,AB7,AC7,AD7)&amp;"'"</f>
        <v>' *  '</v>
      </c>
      <c r="AV7" t="s">
        <v>8</v>
      </c>
      <c r="AW7" t="str">
        <f ca="1">"'"&amp;CONCATENATE(AF7,AG7,AH7,AI7)&amp;"'"</f>
        <v>'    '</v>
      </c>
      <c r="AY7" t="s">
        <v>8</v>
      </c>
      <c r="AZ7" t="str">
        <f ca="1">"'"&amp;CONCATENATE(AK7,AL7,AM7,AN7)&amp;"'"</f>
        <v>'*   '</v>
      </c>
    </row>
    <row r="8" spans="1:52" ht="15" customHeight="1" x14ac:dyDescent="0.45">
      <c r="B8" s="11"/>
      <c r="C8" s="12"/>
      <c r="D8" s="10"/>
      <c r="E8" s="6"/>
      <c r="F8" s="1" t="s">
        <v>10</v>
      </c>
      <c r="G8" s="5"/>
      <c r="H8" s="12"/>
      <c r="I8" s="12"/>
      <c r="J8" s="6"/>
      <c r="K8" s="1" t="s">
        <v>9</v>
      </c>
      <c r="L8" s="5"/>
      <c r="M8" s="12"/>
      <c r="N8" s="12"/>
      <c r="O8" s="6"/>
      <c r="P8" s="1" t="s">
        <v>12</v>
      </c>
      <c r="Q8" s="11"/>
      <c r="R8" s="12"/>
      <c r="S8" s="10"/>
      <c r="T8" s="6"/>
      <c r="U8" s="17" t="s">
        <v>11</v>
      </c>
      <c r="V8" t="str" cm="1">
        <f t="array" aca="1" ref="V8" ca="1">IF(FillColor(B8)&gt;0, VLOOKUP("S",'Tetromino Chars'!$A$1:$B$7,2,FALSE), " ")</f>
        <v>*</v>
      </c>
      <c r="W8" t="str" cm="1">
        <f t="array" aca="1" ref="W8" ca="1">IF(FillColor(C8)&gt;0, VLOOKUP("S",'Tetromino Chars'!$A$1:$B$7,2,FALSE), " ")</f>
        <v>*</v>
      </c>
      <c r="X8" t="str" cm="1">
        <f t="array" aca="1" ref="X8" ca="1">IF(FillColor(D8)&gt;0, VLOOKUP("S",'Tetromino Chars'!$A$1:$B$7,2,FALSE), " ")</f>
        <v xml:space="preserve"> </v>
      </c>
      <c r="Y8" t="str" cm="1">
        <f t="array" aca="1" ref="Y8" ca="1">IF(FillColor(E8)&gt;0, VLOOKUP("S",'Tetromino Chars'!$A$1:$B$7,2,FALSE), " ")</f>
        <v xml:space="preserve"> </v>
      </c>
      <c r="AA8" t="str" cm="1">
        <f t="array" aca="1" ref="AA8" ca="1">IF(FillColor(G8)&gt;0, VLOOKUP("S",'Tetromino Chars'!$A$1:$B$7,2,FALSE), " ")</f>
        <v xml:space="preserve"> </v>
      </c>
      <c r="AB8" t="str" cm="1">
        <f t="array" aca="1" ref="AB8" ca="1">IF(FillColor(H8)&gt;0, VLOOKUP("S",'Tetromino Chars'!$A$1:$B$7,2,FALSE), " ")</f>
        <v>*</v>
      </c>
      <c r="AC8" t="str" cm="1">
        <f t="array" aca="1" ref="AC8" ca="1">IF(FillColor(I8)&gt;0, VLOOKUP("S",'Tetromino Chars'!$A$1:$B$7,2,FALSE), " ")</f>
        <v>*</v>
      </c>
      <c r="AD8" t="str" cm="1">
        <f t="array" aca="1" ref="AD8" ca="1">IF(FillColor(J8)&gt;0, VLOOKUP("S",'Tetromino Chars'!$A$1:$B$7,2,FALSE), " ")</f>
        <v xml:space="preserve"> </v>
      </c>
      <c r="AF8" t="str" cm="1">
        <f t="array" aca="1" ref="AF8" ca="1">IF(FillColor(L8)&gt;0, VLOOKUP("S",'Tetromino Chars'!$A$1:$B$7,2,FALSE), " ")</f>
        <v xml:space="preserve"> </v>
      </c>
      <c r="AG8" t="str" cm="1">
        <f t="array" aca="1" ref="AG8" ca="1">IF(FillColor(M8)&gt;0, VLOOKUP("S",'Tetromino Chars'!$A$1:$B$7,2,FALSE), " ")</f>
        <v>*</v>
      </c>
      <c r="AH8" t="str" cm="1">
        <f t="array" aca="1" ref="AH8" ca="1">IF(FillColor(N8)&gt;0, VLOOKUP("S",'Tetromino Chars'!$A$1:$B$7,2,FALSE), " ")</f>
        <v>*</v>
      </c>
      <c r="AI8" t="str" cm="1">
        <f t="array" aca="1" ref="AI8" ca="1">IF(FillColor(O8)&gt;0, VLOOKUP("S",'Tetromino Chars'!$A$1:$B$7,2,FALSE), " ")</f>
        <v xml:space="preserve"> </v>
      </c>
      <c r="AK8" t="str" cm="1">
        <f t="array" aca="1" ref="AK8" ca="1">IF(FillColor(Q8)&gt;0, VLOOKUP("S",'Tetromino Chars'!$A$1:$B$7,2,FALSE), " ")</f>
        <v>*</v>
      </c>
      <c r="AL8" t="str" cm="1">
        <f t="array" aca="1" ref="AL8" ca="1">IF(FillColor(R8)&gt;0, VLOOKUP("S",'Tetromino Chars'!$A$1:$B$7,2,FALSE), " ")</f>
        <v>*</v>
      </c>
      <c r="AM8" t="str" cm="1">
        <f t="array" aca="1" ref="AM8" ca="1">IF(FillColor(S8)&gt;0, VLOOKUP("S",'Tetromino Chars'!$A$1:$B$7,2,FALSE), " ")</f>
        <v xml:space="preserve"> </v>
      </c>
      <c r="AN8" t="str" cm="1">
        <f t="array" aca="1" ref="AN8" ca="1">IF(FillColor(T8)&gt;0, VLOOKUP("S",'Tetromino Chars'!$A$1:$B$7,2,FALSE), " ")</f>
        <v xml:space="preserve"> </v>
      </c>
      <c r="AP8" t="s">
        <v>8</v>
      </c>
      <c r="AQ8" t="str">
        <f ca="1">"'"&amp;CONCATENATE(V8,W8,X8,Y8)&amp;"'"</f>
        <v>'**  '</v>
      </c>
      <c r="AS8" t="s">
        <v>8</v>
      </c>
      <c r="AT8" t="str">
        <f t="shared" ref="AT8:AT10" ca="1" si="3">"'"&amp;CONCATENATE(AA8,AB8,AC8,AD8)&amp;"'"</f>
        <v>' ** '</v>
      </c>
      <c r="AV8" t="s">
        <v>8</v>
      </c>
      <c r="AW8" t="str">
        <f t="shared" ref="AW8:AW10" ca="1" si="4">"'"&amp;CONCATENATE(AF8,AG8,AH8,AI8)&amp;"'"</f>
        <v>' ** '</v>
      </c>
      <c r="AY8" t="s">
        <v>8</v>
      </c>
      <c r="AZ8" t="str">
        <f t="shared" ref="AZ8:AZ10" ca="1" si="5">"'"&amp;CONCATENATE(AK8,AL8,AM8,AN8)&amp;"'"</f>
        <v>'**  '</v>
      </c>
    </row>
    <row r="9" spans="1:52" ht="15" customHeight="1" x14ac:dyDescent="0.45">
      <c r="B9" s="5"/>
      <c r="C9" s="10"/>
      <c r="D9" s="10"/>
      <c r="E9" s="6"/>
      <c r="G9" s="5"/>
      <c r="H9" s="10"/>
      <c r="I9" s="12"/>
      <c r="J9" s="6"/>
      <c r="L9" s="11"/>
      <c r="M9" s="12"/>
      <c r="N9" s="10"/>
      <c r="O9" s="6"/>
      <c r="Q9" s="5"/>
      <c r="R9" s="12"/>
      <c r="S9" s="10"/>
      <c r="T9" s="6"/>
      <c r="V9" t="str" cm="1">
        <f t="array" aca="1" ref="V9" ca="1">IF(FillColor(B9)&gt;0, VLOOKUP("S",'Tetromino Chars'!$A$1:$B$7,2,FALSE), " ")</f>
        <v xml:space="preserve"> </v>
      </c>
      <c r="W9" t="str" cm="1">
        <f t="array" aca="1" ref="W9" ca="1">IF(FillColor(C9)&gt;0, VLOOKUP("S",'Tetromino Chars'!$A$1:$B$7,2,FALSE), " ")</f>
        <v xml:space="preserve"> </v>
      </c>
      <c r="X9" t="str" cm="1">
        <f t="array" aca="1" ref="X9" ca="1">IF(FillColor(D9)&gt;0, VLOOKUP("S",'Tetromino Chars'!$A$1:$B$7,2,FALSE), " ")</f>
        <v xml:space="preserve"> </v>
      </c>
      <c r="Y9" t="str" cm="1">
        <f t="array" aca="1" ref="Y9" ca="1">IF(FillColor(E9)&gt;0, VLOOKUP("S",'Tetromino Chars'!$A$1:$B$7,2,FALSE), " ")</f>
        <v xml:space="preserve"> </v>
      </c>
      <c r="AA9" t="str" cm="1">
        <f t="array" aca="1" ref="AA9" ca="1">IF(FillColor(G9)&gt;0, VLOOKUP("S",'Tetromino Chars'!$A$1:$B$7,2,FALSE), " ")</f>
        <v xml:space="preserve"> </v>
      </c>
      <c r="AB9" t="str" cm="1">
        <f t="array" aca="1" ref="AB9" ca="1">IF(FillColor(H9)&gt;0, VLOOKUP("S",'Tetromino Chars'!$A$1:$B$7,2,FALSE), " ")</f>
        <v xml:space="preserve"> </v>
      </c>
      <c r="AC9" t="str" cm="1">
        <f t="array" aca="1" ref="AC9" ca="1">IF(FillColor(I9)&gt;0, VLOOKUP("S",'Tetromino Chars'!$A$1:$B$7,2,FALSE), " ")</f>
        <v>*</v>
      </c>
      <c r="AD9" t="str" cm="1">
        <f t="array" aca="1" ref="AD9" ca="1">IF(FillColor(J9)&gt;0, VLOOKUP("S",'Tetromino Chars'!$A$1:$B$7,2,FALSE), " ")</f>
        <v xml:space="preserve"> </v>
      </c>
      <c r="AF9" t="str" cm="1">
        <f t="array" aca="1" ref="AF9" ca="1">IF(FillColor(L9)&gt;0, VLOOKUP("S",'Tetromino Chars'!$A$1:$B$7,2,FALSE), " ")</f>
        <v>*</v>
      </c>
      <c r="AG9" t="str" cm="1">
        <f t="array" aca="1" ref="AG9" ca="1">IF(FillColor(M9)&gt;0, VLOOKUP("S",'Tetromino Chars'!$A$1:$B$7,2,FALSE), " ")</f>
        <v>*</v>
      </c>
      <c r="AH9" t="str" cm="1">
        <f t="array" aca="1" ref="AH9" ca="1">IF(FillColor(N9)&gt;0, VLOOKUP("S",'Tetromino Chars'!$A$1:$B$7,2,FALSE), " ")</f>
        <v xml:space="preserve"> </v>
      </c>
      <c r="AI9" t="str" cm="1">
        <f t="array" aca="1" ref="AI9" ca="1">IF(FillColor(O9)&gt;0, VLOOKUP("S",'Tetromino Chars'!$A$1:$B$7,2,FALSE), " ")</f>
        <v xml:space="preserve"> </v>
      </c>
      <c r="AK9" t="str" cm="1">
        <f t="array" aca="1" ref="AK9" ca="1">IF(FillColor(Q9)&gt;0, VLOOKUP("S",'Tetromino Chars'!$A$1:$B$7,2,FALSE), " ")</f>
        <v xml:space="preserve"> </v>
      </c>
      <c r="AL9" t="str" cm="1">
        <f t="array" aca="1" ref="AL9" ca="1">IF(FillColor(R9)&gt;0, VLOOKUP("S",'Tetromino Chars'!$A$1:$B$7,2,FALSE), " ")</f>
        <v>*</v>
      </c>
      <c r="AM9" t="str" cm="1">
        <f t="array" aca="1" ref="AM9" ca="1">IF(FillColor(S9)&gt;0, VLOOKUP("S",'Tetromino Chars'!$A$1:$B$7,2,FALSE), " ")</f>
        <v xml:space="preserve"> </v>
      </c>
      <c r="AN9" t="str" cm="1">
        <f t="array" aca="1" ref="AN9" ca="1">IF(FillColor(T9)&gt;0, VLOOKUP("S",'Tetromino Chars'!$A$1:$B$7,2,FALSE), " ")</f>
        <v xml:space="preserve"> </v>
      </c>
      <c r="AP9" t="s">
        <v>8</v>
      </c>
      <c r="AQ9" t="str">
        <f ca="1">"'"&amp;CONCATENATE(V9,W9,X9,Y9)&amp;"'"</f>
        <v>'    '</v>
      </c>
      <c r="AS9" t="s">
        <v>8</v>
      </c>
      <c r="AT9" t="str">
        <f t="shared" ca="1" si="3"/>
        <v>'  * '</v>
      </c>
      <c r="AV9" t="s">
        <v>8</v>
      </c>
      <c r="AW9" t="str">
        <f t="shared" ca="1" si="4"/>
        <v>'**  '</v>
      </c>
      <c r="AY9" t="s">
        <v>8</v>
      </c>
      <c r="AZ9" t="str">
        <f t="shared" ca="1" si="5"/>
        <v>' *  '</v>
      </c>
    </row>
    <row r="10" spans="1:52" ht="15" customHeight="1" thickBot="1" x14ac:dyDescent="0.5">
      <c r="B10" s="7"/>
      <c r="C10" s="8"/>
      <c r="D10" s="8"/>
      <c r="E10" s="9"/>
      <c r="G10" s="7"/>
      <c r="H10" s="8"/>
      <c r="I10" s="8"/>
      <c r="J10" s="9"/>
      <c r="L10" s="7"/>
      <c r="M10" s="8"/>
      <c r="N10" s="8"/>
      <c r="O10" s="9"/>
      <c r="Q10" s="7"/>
      <c r="R10" s="8"/>
      <c r="S10" s="8"/>
      <c r="T10" s="9"/>
      <c r="V10" t="str" cm="1">
        <f t="array" aca="1" ref="V10" ca="1">IF(FillColor(B10)&gt;0, VLOOKUP("S",'Tetromino Chars'!$A$1:$B$7,2,FALSE), " ")</f>
        <v xml:space="preserve"> </v>
      </c>
      <c r="W10" t="str" cm="1">
        <f t="array" aca="1" ref="W10" ca="1">IF(FillColor(C10)&gt;0, VLOOKUP("S",'Tetromino Chars'!$A$1:$B$7,2,FALSE), " ")</f>
        <v xml:space="preserve"> </v>
      </c>
      <c r="X10" t="str" cm="1">
        <f t="array" aca="1" ref="X10" ca="1">IF(FillColor(D10)&gt;0, VLOOKUP("S",'Tetromino Chars'!$A$1:$B$7,2,FALSE), " ")</f>
        <v xml:space="preserve"> </v>
      </c>
      <c r="Y10" t="str" cm="1">
        <f t="array" aca="1" ref="Y10" ca="1">IF(FillColor(E10)&gt;0, VLOOKUP("S",'Tetromino Chars'!$A$1:$B$7,2,FALSE), " ")</f>
        <v xml:space="preserve"> </v>
      </c>
      <c r="AA10" t="str" cm="1">
        <f t="array" aca="1" ref="AA10" ca="1">IF(FillColor(G10)&gt;0, VLOOKUP("S",'Tetromino Chars'!$A$1:$B$7,2,FALSE), " ")</f>
        <v xml:space="preserve"> </v>
      </c>
      <c r="AB10" t="str" cm="1">
        <f t="array" aca="1" ref="AB10" ca="1">IF(FillColor(H10)&gt;0, VLOOKUP("S",'Tetromino Chars'!$A$1:$B$7,2,FALSE), " ")</f>
        <v xml:space="preserve"> </v>
      </c>
      <c r="AC10" t="str" cm="1">
        <f t="array" aca="1" ref="AC10" ca="1">IF(FillColor(I10)&gt;0, VLOOKUP("S",'Tetromino Chars'!$A$1:$B$7,2,FALSE), " ")</f>
        <v xml:space="preserve"> </v>
      </c>
      <c r="AD10" t="str" cm="1">
        <f t="array" aca="1" ref="AD10" ca="1">IF(FillColor(J10)&gt;0, VLOOKUP("S",'Tetromino Chars'!$A$1:$B$7,2,FALSE), " ")</f>
        <v xml:space="preserve"> </v>
      </c>
      <c r="AF10" t="str" cm="1">
        <f t="array" aca="1" ref="AF10" ca="1">IF(FillColor(L10)&gt;0, VLOOKUP("S",'Tetromino Chars'!$A$1:$B$7,2,FALSE), " ")</f>
        <v xml:space="preserve"> </v>
      </c>
      <c r="AG10" t="str" cm="1">
        <f t="array" aca="1" ref="AG10" ca="1">IF(FillColor(M10)&gt;0, VLOOKUP("S",'Tetromino Chars'!$A$1:$B$7,2,FALSE), " ")</f>
        <v xml:space="preserve"> </v>
      </c>
      <c r="AH10" t="str" cm="1">
        <f t="array" aca="1" ref="AH10" ca="1">IF(FillColor(N10)&gt;0, VLOOKUP("S",'Tetromino Chars'!$A$1:$B$7,2,FALSE), " ")</f>
        <v xml:space="preserve"> </v>
      </c>
      <c r="AI10" t="str" cm="1">
        <f t="array" aca="1" ref="AI10" ca="1">IF(FillColor(O10)&gt;0, VLOOKUP("S",'Tetromino Chars'!$A$1:$B$7,2,FALSE), " ")</f>
        <v xml:space="preserve"> </v>
      </c>
      <c r="AK10" t="str" cm="1">
        <f t="array" aca="1" ref="AK10" ca="1">IF(FillColor(Q10)&gt;0, VLOOKUP("S",'Tetromino Chars'!$A$1:$B$7,2,FALSE), " ")</f>
        <v xml:space="preserve"> </v>
      </c>
      <c r="AL10" t="str" cm="1">
        <f t="array" aca="1" ref="AL10" ca="1">IF(FillColor(R10)&gt;0, VLOOKUP("S",'Tetromino Chars'!$A$1:$B$7,2,FALSE), " ")</f>
        <v xml:space="preserve"> </v>
      </c>
      <c r="AM10" t="str" cm="1">
        <f t="array" aca="1" ref="AM10" ca="1">IF(FillColor(S10)&gt;0, VLOOKUP("S",'Tetromino Chars'!$A$1:$B$7,2,FALSE), " ")</f>
        <v xml:space="preserve"> </v>
      </c>
      <c r="AN10" t="str" cm="1">
        <f t="array" aca="1" ref="AN10" ca="1">IF(FillColor(T10)&gt;0, VLOOKUP("S",'Tetromino Chars'!$A$1:$B$7,2,FALSE), " ")</f>
        <v xml:space="preserve"> </v>
      </c>
      <c r="AP10" t="s">
        <v>8</v>
      </c>
      <c r="AQ10" t="str">
        <f ca="1">"'"&amp;CONCATENATE(V10,W10,X10,Y10)&amp;"'"</f>
        <v>'    '</v>
      </c>
      <c r="AS10" t="s">
        <v>8</v>
      </c>
      <c r="AT10" t="str">
        <f t="shared" ca="1" si="3"/>
        <v>'    '</v>
      </c>
      <c r="AV10" t="s">
        <v>8</v>
      </c>
      <c r="AW10" t="str">
        <f t="shared" ca="1" si="4"/>
        <v>'    '</v>
      </c>
      <c r="AY10" t="s">
        <v>8</v>
      </c>
      <c r="AZ10" t="str">
        <f t="shared" ca="1" si="5"/>
        <v>'    '</v>
      </c>
    </row>
    <row r="11" spans="1:52" ht="15" customHeight="1" thickTop="1" thickBot="1" x14ac:dyDescent="0.5"/>
    <row r="12" spans="1:52" ht="15" customHeight="1" thickTop="1" x14ac:dyDescent="0.45">
      <c r="A12" t="s">
        <v>4</v>
      </c>
      <c r="B12" s="2"/>
      <c r="C12" s="3"/>
      <c r="D12" s="14"/>
      <c r="E12" s="4"/>
      <c r="G12" s="2"/>
      <c r="H12" s="14"/>
      <c r="I12" s="3"/>
      <c r="J12" s="4"/>
      <c r="L12" s="2"/>
      <c r="M12" s="3"/>
      <c r="N12" s="3"/>
      <c r="O12" s="4"/>
      <c r="Q12" s="16"/>
      <c r="R12" s="14"/>
      <c r="S12" s="3"/>
      <c r="T12" s="4"/>
      <c r="V12" t="str" cm="1">
        <f t="array" aca="1" ref="V12" ca="1">IF(FillColor(B12)&gt;0, VLOOKUP("L",'Tetromino Chars'!$A$1:$B$7,2,FALSE), " ")</f>
        <v xml:space="preserve"> </v>
      </c>
      <c r="W12" t="str" cm="1">
        <f t="array" aca="1" ref="W12" ca="1">IF(FillColor(C12)&gt;0, VLOOKUP("L",'Tetromino Chars'!$A$1:$B$7,2,FALSE), " ")</f>
        <v xml:space="preserve"> </v>
      </c>
      <c r="X12" t="str" cm="1">
        <f t="array" aca="1" ref="X12" ca="1">IF(FillColor(D12)&gt;0, VLOOKUP("L",'Tetromino Chars'!$A$1:$B$7,2,FALSE), " ")</f>
        <v>@</v>
      </c>
      <c r="Y12" t="str" cm="1">
        <f t="array" aca="1" ref="Y12" ca="1">IF(FillColor(E12)&gt;0, VLOOKUP("L",'Tetromino Chars'!$A$1:$B$7,2,FALSE), " ")</f>
        <v xml:space="preserve"> </v>
      </c>
      <c r="AA12" t="str" cm="1">
        <f t="array" aca="1" ref="AA12" ca="1">IF(FillColor(G12)&gt;0, VLOOKUP("L",'Tetromino Chars'!$A$1:$B$7,2,FALSE), " ")</f>
        <v xml:space="preserve"> </v>
      </c>
      <c r="AB12" t="str" cm="1">
        <f t="array" aca="1" ref="AB12" ca="1">IF(FillColor(H12)&gt;0, VLOOKUP("L",'Tetromino Chars'!$A$1:$B$7,2,FALSE), " ")</f>
        <v>@</v>
      </c>
      <c r="AC12" t="str" cm="1">
        <f t="array" aca="1" ref="AC12" ca="1">IF(FillColor(I12)&gt;0, VLOOKUP("L",'Tetromino Chars'!$A$1:$B$7,2,FALSE), " ")</f>
        <v xml:space="preserve"> </v>
      </c>
      <c r="AD12" t="str" cm="1">
        <f t="array" aca="1" ref="AD12" ca="1">IF(FillColor(J12)&gt;0, VLOOKUP("L",'Tetromino Chars'!$A$1:$B$7,2,FALSE), " ")</f>
        <v xml:space="preserve"> </v>
      </c>
      <c r="AF12" t="str" cm="1">
        <f t="array" aca="1" ref="AF12" ca="1">IF(FillColor(L12)&gt;0, VLOOKUP("L",'Tetromino Chars'!$A$1:$B$7,2,FALSE), " ")</f>
        <v xml:space="preserve"> </v>
      </c>
      <c r="AG12" t="str" cm="1">
        <f t="array" aca="1" ref="AG12" ca="1">IF(FillColor(M12)&gt;0, VLOOKUP("L",'Tetromino Chars'!$A$1:$B$7,2,FALSE), " ")</f>
        <v xml:space="preserve"> </v>
      </c>
      <c r="AH12" t="str" cm="1">
        <f t="array" aca="1" ref="AH12" ca="1">IF(FillColor(N12)&gt;0, VLOOKUP("L",'Tetromino Chars'!$A$1:$B$7,2,FALSE), " ")</f>
        <v xml:space="preserve"> </v>
      </c>
      <c r="AI12" t="str" cm="1">
        <f t="array" aca="1" ref="AI12" ca="1">IF(FillColor(O12)&gt;0, VLOOKUP("L",'Tetromino Chars'!$A$1:$B$7,2,FALSE), " ")</f>
        <v xml:space="preserve"> </v>
      </c>
      <c r="AK12" t="str" cm="1">
        <f t="array" aca="1" ref="AK12" ca="1">IF(FillColor(Q12)&gt;0, VLOOKUP("L",'Tetromino Chars'!$A$1:$B$7,2,FALSE), " ")</f>
        <v>@</v>
      </c>
      <c r="AL12" t="str" cm="1">
        <f t="array" aca="1" ref="AL12" ca="1">IF(FillColor(R12)&gt;0, VLOOKUP("L",'Tetromino Chars'!$A$1:$B$7,2,FALSE), " ")</f>
        <v>@</v>
      </c>
      <c r="AM12" t="str" cm="1">
        <f t="array" aca="1" ref="AM12" ca="1">IF(FillColor(S12)&gt;0, VLOOKUP("L",'Tetromino Chars'!$A$1:$B$7,2,FALSE), " ")</f>
        <v xml:space="preserve"> </v>
      </c>
      <c r="AN12" t="str" cm="1">
        <f t="array" aca="1" ref="AN12" ca="1">IF(FillColor(T12)&gt;0, VLOOKUP("L",'Tetromino Chars'!$A$1:$B$7,2,FALSE), " ")</f>
        <v xml:space="preserve"> </v>
      </c>
      <c r="AP12" t="s">
        <v>8</v>
      </c>
      <c r="AQ12" t="str">
        <f ca="1">"'"&amp;CONCATENATE(V12,W12,X12,Y12)&amp;"'"</f>
        <v>'  @ '</v>
      </c>
      <c r="AS12" t="s">
        <v>8</v>
      </c>
      <c r="AT12" t="str">
        <f ca="1">"'"&amp;CONCATENATE(AA12,AB12,AC12,AD12)&amp;"'"</f>
        <v>' @  '</v>
      </c>
      <c r="AV12" t="s">
        <v>8</v>
      </c>
      <c r="AW12" t="str">
        <f ca="1">"'"&amp;CONCATENATE(AF12,AG12,AH12,AI12)&amp;"'"</f>
        <v>'    '</v>
      </c>
      <c r="AY12" t="s">
        <v>8</v>
      </c>
      <c r="AZ12" t="str">
        <f ca="1">"'"&amp;CONCATENATE(AK12,AL12,AM12,AN12)&amp;"'"</f>
        <v>'@@  '</v>
      </c>
    </row>
    <row r="13" spans="1:52" ht="15" customHeight="1" x14ac:dyDescent="0.45">
      <c r="B13" s="11"/>
      <c r="C13" s="12"/>
      <c r="D13" s="12"/>
      <c r="E13" s="6"/>
      <c r="F13" s="1" t="s">
        <v>10</v>
      </c>
      <c r="G13" s="5"/>
      <c r="H13" s="12"/>
      <c r="I13" s="10"/>
      <c r="J13" s="6"/>
      <c r="K13" s="1" t="s">
        <v>9</v>
      </c>
      <c r="L13" s="11"/>
      <c r="M13" s="12"/>
      <c r="N13" s="12"/>
      <c r="O13" s="6"/>
      <c r="P13" s="1" t="s">
        <v>12</v>
      </c>
      <c r="Q13" s="5"/>
      <c r="R13" s="12"/>
      <c r="S13" s="10"/>
      <c r="T13" s="6"/>
      <c r="U13" s="17" t="s">
        <v>11</v>
      </c>
      <c r="V13" t="str" cm="1">
        <f t="array" aca="1" ref="V13" ca="1">IF(FillColor(B13)&gt;0, VLOOKUP("L",'Tetromino Chars'!$A$1:$B$7,2,FALSE), " ")</f>
        <v>@</v>
      </c>
      <c r="W13" t="str" cm="1">
        <f t="array" aca="1" ref="W13" ca="1">IF(FillColor(C13)&gt;0, VLOOKUP("L",'Tetromino Chars'!$A$1:$B$7,2,FALSE), " ")</f>
        <v>@</v>
      </c>
      <c r="X13" t="str" cm="1">
        <f t="array" aca="1" ref="X13" ca="1">IF(FillColor(D13)&gt;0, VLOOKUP("L",'Tetromino Chars'!$A$1:$B$7,2,FALSE), " ")</f>
        <v>@</v>
      </c>
      <c r="Y13" t="str" cm="1">
        <f t="array" aca="1" ref="Y13" ca="1">IF(FillColor(E13)&gt;0, VLOOKUP("L",'Tetromino Chars'!$A$1:$B$7,2,FALSE), " ")</f>
        <v xml:space="preserve"> </v>
      </c>
      <c r="AA13" t="str" cm="1">
        <f t="array" aca="1" ref="AA13" ca="1">IF(FillColor(G13)&gt;0, VLOOKUP("L",'Tetromino Chars'!$A$1:$B$7,2,FALSE), " ")</f>
        <v xml:space="preserve"> </v>
      </c>
      <c r="AB13" t="str" cm="1">
        <f t="array" aca="1" ref="AB13" ca="1">IF(FillColor(H13)&gt;0, VLOOKUP("L",'Tetromino Chars'!$A$1:$B$7,2,FALSE), " ")</f>
        <v>@</v>
      </c>
      <c r="AC13" t="str" cm="1">
        <f t="array" aca="1" ref="AC13" ca="1">IF(FillColor(I13)&gt;0, VLOOKUP("L",'Tetromino Chars'!$A$1:$B$7,2,FALSE), " ")</f>
        <v xml:space="preserve"> </v>
      </c>
      <c r="AD13" t="str" cm="1">
        <f t="array" aca="1" ref="AD13" ca="1">IF(FillColor(J13)&gt;0, VLOOKUP("L",'Tetromino Chars'!$A$1:$B$7,2,FALSE), " ")</f>
        <v xml:space="preserve"> </v>
      </c>
      <c r="AF13" t="str" cm="1">
        <f t="array" aca="1" ref="AF13" ca="1">IF(FillColor(L13)&gt;0, VLOOKUP("L",'Tetromino Chars'!$A$1:$B$7,2,FALSE), " ")</f>
        <v>@</v>
      </c>
      <c r="AG13" t="str" cm="1">
        <f t="array" aca="1" ref="AG13" ca="1">IF(FillColor(M13)&gt;0, VLOOKUP("L",'Tetromino Chars'!$A$1:$B$7,2,FALSE), " ")</f>
        <v>@</v>
      </c>
      <c r="AH13" t="str" cm="1">
        <f t="array" aca="1" ref="AH13" ca="1">IF(FillColor(N13)&gt;0, VLOOKUP("L",'Tetromino Chars'!$A$1:$B$7,2,FALSE), " ")</f>
        <v>@</v>
      </c>
      <c r="AI13" t="str" cm="1">
        <f t="array" aca="1" ref="AI13" ca="1">IF(FillColor(O13)&gt;0, VLOOKUP("L",'Tetromino Chars'!$A$1:$B$7,2,FALSE), " ")</f>
        <v xml:space="preserve"> </v>
      </c>
      <c r="AK13" t="str" cm="1">
        <f t="array" aca="1" ref="AK13" ca="1">IF(FillColor(Q13)&gt;0, VLOOKUP("L",'Tetromino Chars'!$A$1:$B$7,2,FALSE), " ")</f>
        <v xml:space="preserve"> </v>
      </c>
      <c r="AL13" t="str" cm="1">
        <f t="array" aca="1" ref="AL13" ca="1">IF(FillColor(R13)&gt;0, VLOOKUP("L",'Tetromino Chars'!$A$1:$B$7,2,FALSE), " ")</f>
        <v>@</v>
      </c>
      <c r="AM13" t="str" cm="1">
        <f t="array" aca="1" ref="AM13" ca="1">IF(FillColor(S13)&gt;0, VLOOKUP("L",'Tetromino Chars'!$A$1:$B$7,2,FALSE), " ")</f>
        <v xml:space="preserve"> </v>
      </c>
      <c r="AN13" t="str" cm="1">
        <f t="array" aca="1" ref="AN13" ca="1">IF(FillColor(T13)&gt;0, VLOOKUP("L",'Tetromino Chars'!$A$1:$B$7,2,FALSE), " ")</f>
        <v xml:space="preserve"> </v>
      </c>
      <c r="AP13" t="s">
        <v>8</v>
      </c>
      <c r="AQ13" t="str">
        <f ca="1">"'"&amp;CONCATENATE(V13,W13,X13,Y13)&amp;"'"</f>
        <v>'@@@ '</v>
      </c>
      <c r="AS13" t="s">
        <v>8</v>
      </c>
      <c r="AT13" t="str">
        <f t="shared" ref="AT13:AT15" ca="1" si="6">"'"&amp;CONCATENATE(AA13,AB13,AC13,AD13)&amp;"'"</f>
        <v>' @  '</v>
      </c>
      <c r="AV13" t="s">
        <v>8</v>
      </c>
      <c r="AW13" t="str">
        <f t="shared" ref="AW13:AW15" ca="1" si="7">"'"&amp;CONCATENATE(AF13,AG13,AH13,AI13)&amp;"'"</f>
        <v>'@@@ '</v>
      </c>
      <c r="AY13" t="s">
        <v>8</v>
      </c>
      <c r="AZ13" t="str">
        <f t="shared" ref="AZ13:AZ15" ca="1" si="8">"'"&amp;CONCATENATE(AK13,AL13,AM13,AN13)&amp;"'"</f>
        <v>' @  '</v>
      </c>
    </row>
    <row r="14" spans="1:52" ht="15" customHeight="1" x14ac:dyDescent="0.45">
      <c r="B14" s="5"/>
      <c r="C14" s="10"/>
      <c r="D14" s="10"/>
      <c r="E14" s="6"/>
      <c r="G14" s="5"/>
      <c r="H14" s="12"/>
      <c r="I14" s="12"/>
      <c r="J14" s="6"/>
      <c r="L14" s="11"/>
      <c r="M14" s="10"/>
      <c r="N14" s="10"/>
      <c r="O14" s="6"/>
      <c r="Q14" s="5"/>
      <c r="R14" s="12"/>
      <c r="S14" s="10"/>
      <c r="T14" s="6"/>
      <c r="V14" t="str" cm="1">
        <f t="array" aca="1" ref="V14" ca="1">IF(FillColor(B14)&gt;0, VLOOKUP("L",'Tetromino Chars'!$A$1:$B$7,2,FALSE), " ")</f>
        <v xml:space="preserve"> </v>
      </c>
      <c r="W14" t="str" cm="1">
        <f t="array" aca="1" ref="W14" ca="1">IF(FillColor(C14)&gt;0, VLOOKUP("L",'Tetromino Chars'!$A$1:$B$7,2,FALSE), " ")</f>
        <v xml:space="preserve"> </v>
      </c>
      <c r="X14" t="str" cm="1">
        <f t="array" aca="1" ref="X14" ca="1">IF(FillColor(D14)&gt;0, VLOOKUP("L",'Tetromino Chars'!$A$1:$B$7,2,FALSE), " ")</f>
        <v xml:space="preserve"> </v>
      </c>
      <c r="Y14" t="str" cm="1">
        <f t="array" aca="1" ref="Y14" ca="1">IF(FillColor(E14)&gt;0, VLOOKUP("L",'Tetromino Chars'!$A$1:$B$7,2,FALSE), " ")</f>
        <v xml:space="preserve"> </v>
      </c>
      <c r="AA14" t="str" cm="1">
        <f t="array" aca="1" ref="AA14" ca="1">IF(FillColor(G14)&gt;0, VLOOKUP("L",'Tetromino Chars'!$A$1:$B$7,2,FALSE), " ")</f>
        <v xml:space="preserve"> </v>
      </c>
      <c r="AB14" t="str" cm="1">
        <f t="array" aca="1" ref="AB14" ca="1">IF(FillColor(H14)&gt;0, VLOOKUP("L",'Tetromino Chars'!$A$1:$B$7,2,FALSE), " ")</f>
        <v>@</v>
      </c>
      <c r="AC14" t="str" cm="1">
        <f t="array" aca="1" ref="AC14" ca="1">IF(FillColor(I14)&gt;0, VLOOKUP("L",'Tetromino Chars'!$A$1:$B$7,2,FALSE), " ")</f>
        <v>@</v>
      </c>
      <c r="AD14" t="str" cm="1">
        <f t="array" aca="1" ref="AD14" ca="1">IF(FillColor(J14)&gt;0, VLOOKUP("L",'Tetromino Chars'!$A$1:$B$7,2,FALSE), " ")</f>
        <v xml:space="preserve"> </v>
      </c>
      <c r="AF14" t="str" cm="1">
        <f t="array" aca="1" ref="AF14" ca="1">IF(FillColor(L14)&gt;0, VLOOKUP("L",'Tetromino Chars'!$A$1:$B$7,2,FALSE), " ")</f>
        <v>@</v>
      </c>
      <c r="AG14" t="str" cm="1">
        <f t="array" aca="1" ref="AG14" ca="1">IF(FillColor(M14)&gt;0, VLOOKUP("L",'Tetromino Chars'!$A$1:$B$7,2,FALSE), " ")</f>
        <v xml:space="preserve"> </v>
      </c>
      <c r="AH14" t="str" cm="1">
        <f t="array" aca="1" ref="AH14" ca="1">IF(FillColor(N14)&gt;0, VLOOKUP("L",'Tetromino Chars'!$A$1:$B$7,2,FALSE), " ")</f>
        <v xml:space="preserve"> </v>
      </c>
      <c r="AI14" t="str" cm="1">
        <f t="array" aca="1" ref="AI14" ca="1">IF(FillColor(O14)&gt;0, VLOOKUP("L",'Tetromino Chars'!$A$1:$B$7,2,FALSE), " ")</f>
        <v xml:space="preserve"> </v>
      </c>
      <c r="AK14" t="str" cm="1">
        <f t="array" aca="1" ref="AK14" ca="1">IF(FillColor(Q14)&gt;0, VLOOKUP("L",'Tetromino Chars'!$A$1:$B$7,2,FALSE), " ")</f>
        <v xml:space="preserve"> </v>
      </c>
      <c r="AL14" t="str" cm="1">
        <f t="array" aca="1" ref="AL14" ca="1">IF(FillColor(R14)&gt;0, VLOOKUP("L",'Tetromino Chars'!$A$1:$B$7,2,FALSE), " ")</f>
        <v>@</v>
      </c>
      <c r="AM14" t="str" cm="1">
        <f t="array" aca="1" ref="AM14" ca="1">IF(FillColor(S14)&gt;0, VLOOKUP("L",'Tetromino Chars'!$A$1:$B$7,2,FALSE), " ")</f>
        <v xml:space="preserve"> </v>
      </c>
      <c r="AN14" t="str" cm="1">
        <f t="array" aca="1" ref="AN14" ca="1">IF(FillColor(T14)&gt;0, VLOOKUP("L",'Tetromino Chars'!$A$1:$B$7,2,FALSE), " ")</f>
        <v xml:space="preserve"> </v>
      </c>
      <c r="AP14" t="s">
        <v>8</v>
      </c>
      <c r="AQ14" t="str">
        <f ca="1">"'"&amp;CONCATENATE(V14,W14,X14,Y14)&amp;"'"</f>
        <v>'    '</v>
      </c>
      <c r="AS14" t="s">
        <v>8</v>
      </c>
      <c r="AT14" t="str">
        <f t="shared" ca="1" si="6"/>
        <v>' @@ '</v>
      </c>
      <c r="AV14" t="s">
        <v>8</v>
      </c>
      <c r="AW14" t="str">
        <f t="shared" ca="1" si="7"/>
        <v>'@   '</v>
      </c>
      <c r="AY14" t="s">
        <v>8</v>
      </c>
      <c r="AZ14" t="str">
        <f t="shared" ca="1" si="8"/>
        <v>' @  '</v>
      </c>
    </row>
    <row r="15" spans="1:52" ht="15" customHeight="1" thickBot="1" x14ac:dyDescent="0.5">
      <c r="B15" s="7"/>
      <c r="C15" s="8"/>
      <c r="D15" s="8"/>
      <c r="E15" s="9"/>
      <c r="G15" s="7"/>
      <c r="H15" s="8"/>
      <c r="I15" s="8"/>
      <c r="J15" s="9"/>
      <c r="L15" s="7"/>
      <c r="M15" s="8"/>
      <c r="N15" s="8"/>
      <c r="O15" s="9"/>
      <c r="Q15" s="7"/>
      <c r="R15" s="8"/>
      <c r="S15" s="8"/>
      <c r="T15" s="9"/>
      <c r="V15" t="str" cm="1">
        <f t="array" aca="1" ref="V15" ca="1">IF(FillColor(B15)&gt;0, VLOOKUP("L",'Tetromino Chars'!$A$1:$B$7,2,FALSE), " ")</f>
        <v xml:space="preserve"> </v>
      </c>
      <c r="W15" t="str" cm="1">
        <f t="array" aca="1" ref="W15" ca="1">IF(FillColor(C15)&gt;0, VLOOKUP("L",'Tetromino Chars'!$A$1:$B$7,2,FALSE), " ")</f>
        <v xml:space="preserve"> </v>
      </c>
      <c r="X15" t="str" cm="1">
        <f t="array" aca="1" ref="X15" ca="1">IF(FillColor(D15)&gt;0, VLOOKUP("L",'Tetromino Chars'!$A$1:$B$7,2,FALSE), " ")</f>
        <v xml:space="preserve"> </v>
      </c>
      <c r="Y15" t="str" cm="1">
        <f t="array" aca="1" ref="Y15" ca="1">IF(FillColor(E15)&gt;0, VLOOKUP("L",'Tetromino Chars'!$A$1:$B$7,2,FALSE), " ")</f>
        <v xml:space="preserve"> </v>
      </c>
      <c r="AA15" t="str" cm="1">
        <f t="array" aca="1" ref="AA15" ca="1">IF(FillColor(G15)&gt;0, VLOOKUP("L",'Tetromino Chars'!$A$1:$B$7,2,FALSE), " ")</f>
        <v xml:space="preserve"> </v>
      </c>
      <c r="AB15" t="str" cm="1">
        <f t="array" aca="1" ref="AB15" ca="1">IF(FillColor(H15)&gt;0, VLOOKUP("L",'Tetromino Chars'!$A$1:$B$7,2,FALSE), " ")</f>
        <v xml:space="preserve"> </v>
      </c>
      <c r="AC15" t="str" cm="1">
        <f t="array" aca="1" ref="AC15" ca="1">IF(FillColor(I15)&gt;0, VLOOKUP("L",'Tetromino Chars'!$A$1:$B$7,2,FALSE), " ")</f>
        <v xml:space="preserve"> </v>
      </c>
      <c r="AD15" t="str" cm="1">
        <f t="array" aca="1" ref="AD15" ca="1">IF(FillColor(J15)&gt;0, VLOOKUP("L",'Tetromino Chars'!$A$1:$B$7,2,FALSE), " ")</f>
        <v xml:space="preserve"> </v>
      </c>
      <c r="AF15" t="str" cm="1">
        <f t="array" aca="1" ref="AF15" ca="1">IF(FillColor(L15)&gt;0, VLOOKUP("L",'Tetromino Chars'!$A$1:$B$7,2,FALSE), " ")</f>
        <v xml:space="preserve"> </v>
      </c>
      <c r="AG15" t="str" cm="1">
        <f t="array" aca="1" ref="AG15" ca="1">IF(FillColor(M15)&gt;0, VLOOKUP("L",'Tetromino Chars'!$A$1:$B$7,2,FALSE), " ")</f>
        <v xml:space="preserve"> </v>
      </c>
      <c r="AH15" t="str" cm="1">
        <f t="array" aca="1" ref="AH15" ca="1">IF(FillColor(N15)&gt;0, VLOOKUP("L",'Tetromino Chars'!$A$1:$B$7,2,FALSE), " ")</f>
        <v xml:space="preserve"> </v>
      </c>
      <c r="AI15" t="str" cm="1">
        <f t="array" aca="1" ref="AI15" ca="1">IF(FillColor(O15)&gt;0, VLOOKUP("L",'Tetromino Chars'!$A$1:$B$7,2,FALSE), " ")</f>
        <v xml:space="preserve"> </v>
      </c>
      <c r="AK15" t="str" cm="1">
        <f t="array" aca="1" ref="AK15" ca="1">IF(FillColor(Q15)&gt;0, VLOOKUP("L",'Tetromino Chars'!$A$1:$B$7,2,FALSE), " ")</f>
        <v xml:space="preserve"> </v>
      </c>
      <c r="AL15" t="str" cm="1">
        <f t="array" aca="1" ref="AL15" ca="1">IF(FillColor(R15)&gt;0, VLOOKUP("L",'Tetromino Chars'!$A$1:$B$7,2,FALSE), " ")</f>
        <v xml:space="preserve"> </v>
      </c>
      <c r="AM15" t="str" cm="1">
        <f t="array" aca="1" ref="AM15" ca="1">IF(FillColor(S15)&gt;0, VLOOKUP("L",'Tetromino Chars'!$A$1:$B$7,2,FALSE), " ")</f>
        <v xml:space="preserve"> </v>
      </c>
      <c r="AN15" t="str" cm="1">
        <f t="array" aca="1" ref="AN15" ca="1">IF(FillColor(T15)&gt;0, VLOOKUP("L",'Tetromino Chars'!$A$1:$B$7,2,FALSE), " ")</f>
        <v xml:space="preserve"> </v>
      </c>
      <c r="AP15" t="s">
        <v>8</v>
      </c>
      <c r="AQ15" t="str">
        <f ca="1">"'"&amp;CONCATENATE(V15,W15,X15,Y15)&amp;"'"</f>
        <v>'    '</v>
      </c>
      <c r="AS15" t="s">
        <v>8</v>
      </c>
      <c r="AT15" t="str">
        <f t="shared" ca="1" si="6"/>
        <v>'    '</v>
      </c>
      <c r="AV15" t="s">
        <v>8</v>
      </c>
      <c r="AW15" t="str">
        <f t="shared" ca="1" si="7"/>
        <v>'    '</v>
      </c>
      <c r="AY15" t="s">
        <v>8</v>
      </c>
      <c r="AZ15" t="str">
        <f t="shared" ca="1" si="8"/>
        <v>'    '</v>
      </c>
    </row>
    <row r="16" spans="1:52" ht="15" customHeight="1" thickTop="1" thickBot="1" x14ac:dyDescent="0.5"/>
    <row r="17" spans="1:52" ht="15" customHeight="1" thickTop="1" x14ac:dyDescent="0.45">
      <c r="A17" t="s">
        <v>5</v>
      </c>
      <c r="B17" s="16"/>
      <c r="C17" s="3"/>
      <c r="D17" s="3"/>
      <c r="E17" s="4"/>
      <c r="G17" s="2"/>
      <c r="H17" s="14"/>
      <c r="I17" s="14"/>
      <c r="J17" s="4"/>
      <c r="L17" s="2"/>
      <c r="M17" s="3"/>
      <c r="N17" s="3"/>
      <c r="O17" s="4"/>
      <c r="Q17" s="2"/>
      <c r="R17" s="14"/>
      <c r="S17" s="3"/>
      <c r="T17" s="4"/>
      <c r="V17" t="str" cm="1">
        <f t="array" aca="1" ref="V17" ca="1">IF(FillColor(B17)&gt;0, VLOOKUP("J",'Tetromino Chars'!$A$1:$B$7,2,FALSE), " ")</f>
        <v>+</v>
      </c>
      <c r="W17" t="str" cm="1">
        <f t="array" aca="1" ref="W17" ca="1">IF(FillColor(C17)&gt;0, VLOOKUP("J",'Tetromino Chars'!$A$1:$B$7,2,FALSE), " ")</f>
        <v xml:space="preserve"> </v>
      </c>
      <c r="X17" t="str" cm="1">
        <f t="array" aca="1" ref="X17" ca="1">IF(FillColor(D17)&gt;0, VLOOKUP("J",'Tetromino Chars'!$A$1:$B$7,2,FALSE), " ")</f>
        <v xml:space="preserve"> </v>
      </c>
      <c r="Y17" t="str" cm="1">
        <f t="array" aca="1" ref="Y17" ca="1">IF(FillColor(E17)&gt;0, VLOOKUP("J",'Tetromino Chars'!$A$1:$B$7,2,FALSE), " ")</f>
        <v xml:space="preserve"> </v>
      </c>
      <c r="AA17" t="str" cm="1">
        <f t="array" aca="1" ref="AA17" ca="1">IF(FillColor(G17)&gt;0, VLOOKUP("J",'Tetromino Chars'!$A$1:$B$7,2,FALSE), " ")</f>
        <v xml:space="preserve"> </v>
      </c>
      <c r="AB17" t="str" cm="1">
        <f t="array" aca="1" ref="AB17" ca="1">IF(FillColor(H17)&gt;0, VLOOKUP("J",'Tetromino Chars'!$A$1:$B$7,2,FALSE), " ")</f>
        <v>+</v>
      </c>
      <c r="AC17" t="str" cm="1">
        <f t="array" aca="1" ref="AC17" ca="1">IF(FillColor(I17)&gt;0, VLOOKUP("J",'Tetromino Chars'!$A$1:$B$7,2,FALSE), " ")</f>
        <v>+</v>
      </c>
      <c r="AD17" t="str" cm="1">
        <f t="array" aca="1" ref="AD17" ca="1">IF(FillColor(J17)&gt;0, VLOOKUP("J",'Tetromino Chars'!$A$1:$B$7,2,FALSE), " ")</f>
        <v xml:space="preserve"> </v>
      </c>
      <c r="AF17" t="str" cm="1">
        <f t="array" aca="1" ref="AF17" ca="1">IF(FillColor(L17)&gt;0, VLOOKUP("J",'Tetromino Chars'!$A$1:$B$7,2,FALSE), " ")</f>
        <v xml:space="preserve"> </v>
      </c>
      <c r="AG17" t="str" cm="1">
        <f t="array" aca="1" ref="AG17" ca="1">IF(FillColor(M17)&gt;0, VLOOKUP("J",'Tetromino Chars'!$A$1:$B$7,2,FALSE), " ")</f>
        <v xml:space="preserve"> </v>
      </c>
      <c r="AH17" t="str" cm="1">
        <f t="array" aca="1" ref="AH17" ca="1">IF(FillColor(N17)&gt;0, VLOOKUP("J",'Tetromino Chars'!$A$1:$B$7,2,FALSE), " ")</f>
        <v xml:space="preserve"> </v>
      </c>
      <c r="AI17" t="str" cm="1">
        <f t="array" aca="1" ref="AI17" ca="1">IF(FillColor(O17)&gt;0, VLOOKUP("J",'Tetromino Chars'!$A$1:$B$7,2,FALSE), " ")</f>
        <v xml:space="preserve"> </v>
      </c>
      <c r="AK17" t="str" cm="1">
        <f t="array" aca="1" ref="AK17" ca="1">IF(FillColor(Q17)&gt;0, VLOOKUP("J",'Tetromino Chars'!$A$1:$B$7,2,FALSE), " ")</f>
        <v xml:space="preserve"> </v>
      </c>
      <c r="AL17" t="str" cm="1">
        <f t="array" aca="1" ref="AL17" ca="1">IF(FillColor(R17)&gt;0, VLOOKUP("J",'Tetromino Chars'!$A$1:$B$7,2,FALSE), " ")</f>
        <v>+</v>
      </c>
      <c r="AM17" t="str" cm="1">
        <f t="array" aca="1" ref="AM17" ca="1">IF(FillColor(S17)&gt;0, VLOOKUP("J",'Tetromino Chars'!$A$1:$B$7,2,FALSE), " ")</f>
        <v xml:space="preserve"> </v>
      </c>
      <c r="AN17" t="str" cm="1">
        <f t="array" aca="1" ref="AN17" ca="1">IF(FillColor(T17)&gt;0, VLOOKUP("J",'Tetromino Chars'!$A$1:$B$7,2,FALSE), " ")</f>
        <v xml:space="preserve"> </v>
      </c>
      <c r="AP17" t="s">
        <v>8</v>
      </c>
      <c r="AQ17" t="str">
        <f ca="1">"'"&amp;CONCATENATE(V17,W17,X17,Y17)&amp;"'"</f>
        <v>'+   '</v>
      </c>
      <c r="AS17" t="s">
        <v>8</v>
      </c>
      <c r="AT17" t="str">
        <f ca="1">"'"&amp;CONCATENATE(AA17,AB17,AC17,AD17)&amp;"'"</f>
        <v>' ++ '</v>
      </c>
      <c r="AV17" t="s">
        <v>8</v>
      </c>
      <c r="AW17" t="str">
        <f ca="1">"'"&amp;CONCATENATE(AF17,AG17,AH17,AI17)&amp;"'"</f>
        <v>'    '</v>
      </c>
      <c r="AY17" t="s">
        <v>8</v>
      </c>
      <c r="AZ17" t="str">
        <f ca="1">"'"&amp;CONCATENATE(AK17,AL17,AM17,AN17)&amp;"'"</f>
        <v>' +  '</v>
      </c>
    </row>
    <row r="18" spans="1:52" ht="15" customHeight="1" x14ac:dyDescent="0.45">
      <c r="B18" s="11"/>
      <c r="C18" s="12"/>
      <c r="D18" s="12"/>
      <c r="E18" s="6"/>
      <c r="F18" s="1" t="s">
        <v>10</v>
      </c>
      <c r="G18" s="5"/>
      <c r="H18" s="12"/>
      <c r="I18" s="10"/>
      <c r="J18" s="6"/>
      <c r="K18" s="1" t="s">
        <v>9</v>
      </c>
      <c r="L18" s="11"/>
      <c r="M18" s="12"/>
      <c r="N18" s="12"/>
      <c r="O18" s="6"/>
      <c r="P18" s="1" t="s">
        <v>12</v>
      </c>
      <c r="Q18" s="5"/>
      <c r="R18" s="12"/>
      <c r="S18" s="10"/>
      <c r="T18" s="6"/>
      <c r="U18" s="17" t="s">
        <v>11</v>
      </c>
      <c r="V18" t="str" cm="1">
        <f t="array" aca="1" ref="V18" ca="1">IF(FillColor(B18)&gt;0, VLOOKUP("J",'Tetromino Chars'!$A$1:$B$7,2,FALSE), " ")</f>
        <v>+</v>
      </c>
      <c r="W18" t="str" cm="1">
        <f t="array" aca="1" ref="W18" ca="1">IF(FillColor(C18)&gt;0, VLOOKUP("J",'Tetromino Chars'!$A$1:$B$7,2,FALSE), " ")</f>
        <v>+</v>
      </c>
      <c r="X18" t="str" cm="1">
        <f t="array" aca="1" ref="X18" ca="1">IF(FillColor(D18)&gt;0, VLOOKUP("J",'Tetromino Chars'!$A$1:$B$7,2,FALSE), " ")</f>
        <v>+</v>
      </c>
      <c r="Y18" t="str" cm="1">
        <f t="array" aca="1" ref="Y18" ca="1">IF(FillColor(E18)&gt;0, VLOOKUP("J",'Tetromino Chars'!$A$1:$B$7,2,FALSE), " ")</f>
        <v xml:space="preserve"> </v>
      </c>
      <c r="AA18" t="str" cm="1">
        <f t="array" aca="1" ref="AA18" ca="1">IF(FillColor(G18)&gt;0, VLOOKUP("J",'Tetromino Chars'!$A$1:$B$7,2,FALSE), " ")</f>
        <v xml:space="preserve"> </v>
      </c>
      <c r="AB18" t="str" cm="1">
        <f t="array" aca="1" ref="AB18" ca="1">IF(FillColor(H18)&gt;0, VLOOKUP("J",'Tetromino Chars'!$A$1:$B$7,2,FALSE), " ")</f>
        <v>+</v>
      </c>
      <c r="AC18" t="str" cm="1">
        <f t="array" aca="1" ref="AC18" ca="1">IF(FillColor(I18)&gt;0, VLOOKUP("J",'Tetromino Chars'!$A$1:$B$7,2,FALSE), " ")</f>
        <v xml:space="preserve"> </v>
      </c>
      <c r="AD18" t="str" cm="1">
        <f t="array" aca="1" ref="AD18" ca="1">IF(FillColor(J18)&gt;0, VLOOKUP("J",'Tetromino Chars'!$A$1:$B$7,2,FALSE), " ")</f>
        <v xml:space="preserve"> </v>
      </c>
      <c r="AF18" t="str" cm="1">
        <f t="array" aca="1" ref="AF18" ca="1">IF(FillColor(L18)&gt;0, VLOOKUP("J",'Tetromino Chars'!$A$1:$B$7,2,FALSE), " ")</f>
        <v>+</v>
      </c>
      <c r="AG18" t="str" cm="1">
        <f t="array" aca="1" ref="AG18" ca="1">IF(FillColor(M18)&gt;0, VLOOKUP("J",'Tetromino Chars'!$A$1:$B$7,2,FALSE), " ")</f>
        <v>+</v>
      </c>
      <c r="AH18" t="str" cm="1">
        <f t="array" aca="1" ref="AH18" ca="1">IF(FillColor(N18)&gt;0, VLOOKUP("J",'Tetromino Chars'!$A$1:$B$7,2,FALSE), " ")</f>
        <v>+</v>
      </c>
      <c r="AI18" t="str" cm="1">
        <f t="array" aca="1" ref="AI18" ca="1">IF(FillColor(O18)&gt;0, VLOOKUP("J",'Tetromino Chars'!$A$1:$B$7,2,FALSE), " ")</f>
        <v xml:space="preserve"> </v>
      </c>
      <c r="AK18" t="str" cm="1">
        <f t="array" aca="1" ref="AK18" ca="1">IF(FillColor(Q18)&gt;0, VLOOKUP("J",'Tetromino Chars'!$A$1:$B$7,2,FALSE), " ")</f>
        <v xml:space="preserve"> </v>
      </c>
      <c r="AL18" t="str" cm="1">
        <f t="array" aca="1" ref="AL18" ca="1">IF(FillColor(R18)&gt;0, VLOOKUP("J",'Tetromino Chars'!$A$1:$B$7,2,FALSE), " ")</f>
        <v>+</v>
      </c>
      <c r="AM18" t="str" cm="1">
        <f t="array" aca="1" ref="AM18" ca="1">IF(FillColor(S18)&gt;0, VLOOKUP("J",'Tetromino Chars'!$A$1:$B$7,2,FALSE), " ")</f>
        <v xml:space="preserve"> </v>
      </c>
      <c r="AN18" t="str" cm="1">
        <f t="array" aca="1" ref="AN18" ca="1">IF(FillColor(T18)&gt;0, VLOOKUP("J",'Tetromino Chars'!$A$1:$B$7,2,FALSE), " ")</f>
        <v xml:space="preserve"> </v>
      </c>
      <c r="AP18" t="s">
        <v>8</v>
      </c>
      <c r="AQ18" t="str">
        <f ca="1">"'"&amp;CONCATENATE(V18,W18,X18,Y18)&amp;"'"</f>
        <v>'+++ '</v>
      </c>
      <c r="AS18" t="s">
        <v>8</v>
      </c>
      <c r="AT18" t="str">
        <f t="shared" ref="AT18:AT20" ca="1" si="9">"'"&amp;CONCATENATE(AA18,AB18,AC18,AD18)&amp;"'"</f>
        <v>' +  '</v>
      </c>
      <c r="AV18" t="s">
        <v>8</v>
      </c>
      <c r="AW18" t="str">
        <f t="shared" ref="AW18:AW20" ca="1" si="10">"'"&amp;CONCATENATE(AF18,AG18,AH18,AI18)&amp;"'"</f>
        <v>'+++ '</v>
      </c>
      <c r="AY18" t="s">
        <v>8</v>
      </c>
      <c r="AZ18" t="str">
        <f t="shared" ref="AZ18:AZ20" ca="1" si="11">"'"&amp;CONCATENATE(AK18,AL18,AM18,AN18)&amp;"'"</f>
        <v>' +  '</v>
      </c>
    </row>
    <row r="19" spans="1:52" ht="15" customHeight="1" x14ac:dyDescent="0.45">
      <c r="B19" s="5"/>
      <c r="C19" s="10"/>
      <c r="D19" s="10"/>
      <c r="E19" s="6"/>
      <c r="G19" s="5"/>
      <c r="H19" s="12"/>
      <c r="I19" s="10"/>
      <c r="J19" s="6"/>
      <c r="L19" s="5"/>
      <c r="M19" s="10"/>
      <c r="N19" s="12"/>
      <c r="O19" s="6"/>
      <c r="Q19" s="11"/>
      <c r="R19" s="12"/>
      <c r="S19" s="10"/>
      <c r="T19" s="6"/>
      <c r="V19" t="str" cm="1">
        <f t="array" aca="1" ref="V19" ca="1">IF(FillColor(B19)&gt;0, VLOOKUP("J",'Tetromino Chars'!$A$1:$B$7,2,FALSE), " ")</f>
        <v xml:space="preserve"> </v>
      </c>
      <c r="W19" t="str" cm="1">
        <f t="array" aca="1" ref="W19" ca="1">IF(FillColor(C19)&gt;0, VLOOKUP("J",'Tetromino Chars'!$A$1:$B$7,2,FALSE), " ")</f>
        <v xml:space="preserve"> </v>
      </c>
      <c r="X19" t="str" cm="1">
        <f t="array" aca="1" ref="X19" ca="1">IF(FillColor(D19)&gt;0, VLOOKUP("J",'Tetromino Chars'!$A$1:$B$7,2,FALSE), " ")</f>
        <v xml:space="preserve"> </v>
      </c>
      <c r="Y19" t="str" cm="1">
        <f t="array" aca="1" ref="Y19" ca="1">IF(FillColor(E19)&gt;0, VLOOKUP("J",'Tetromino Chars'!$A$1:$B$7,2,FALSE), " ")</f>
        <v xml:space="preserve"> </v>
      </c>
      <c r="AA19" t="str" cm="1">
        <f t="array" aca="1" ref="AA19" ca="1">IF(FillColor(G19)&gt;0, VLOOKUP("J",'Tetromino Chars'!$A$1:$B$7,2,FALSE), " ")</f>
        <v xml:space="preserve"> </v>
      </c>
      <c r="AB19" t="str" cm="1">
        <f t="array" aca="1" ref="AB19" ca="1">IF(FillColor(H19)&gt;0, VLOOKUP("J",'Tetromino Chars'!$A$1:$B$7,2,FALSE), " ")</f>
        <v>+</v>
      </c>
      <c r="AC19" t="str" cm="1">
        <f t="array" aca="1" ref="AC19" ca="1">IF(FillColor(I19)&gt;0, VLOOKUP("J",'Tetromino Chars'!$A$1:$B$7,2,FALSE), " ")</f>
        <v xml:space="preserve"> </v>
      </c>
      <c r="AD19" t="str" cm="1">
        <f t="array" aca="1" ref="AD19" ca="1">IF(FillColor(J19)&gt;0, VLOOKUP("J",'Tetromino Chars'!$A$1:$B$7,2,FALSE), " ")</f>
        <v xml:space="preserve"> </v>
      </c>
      <c r="AF19" t="str" cm="1">
        <f t="array" aca="1" ref="AF19" ca="1">IF(FillColor(L19)&gt;0, VLOOKUP("J",'Tetromino Chars'!$A$1:$B$7,2,FALSE), " ")</f>
        <v xml:space="preserve"> </v>
      </c>
      <c r="AG19" t="str" cm="1">
        <f t="array" aca="1" ref="AG19" ca="1">IF(FillColor(M19)&gt;0, VLOOKUP("J",'Tetromino Chars'!$A$1:$B$7,2,FALSE), " ")</f>
        <v xml:space="preserve"> </v>
      </c>
      <c r="AH19" t="str" cm="1">
        <f t="array" aca="1" ref="AH19" ca="1">IF(FillColor(N19)&gt;0, VLOOKUP("J",'Tetromino Chars'!$A$1:$B$7,2,FALSE), " ")</f>
        <v>+</v>
      </c>
      <c r="AI19" t="str" cm="1">
        <f t="array" aca="1" ref="AI19" ca="1">IF(FillColor(O19)&gt;0, VLOOKUP("J",'Tetromino Chars'!$A$1:$B$7,2,FALSE), " ")</f>
        <v xml:space="preserve"> </v>
      </c>
      <c r="AK19" t="str" cm="1">
        <f t="array" aca="1" ref="AK19" ca="1">IF(FillColor(Q19)&gt;0, VLOOKUP("J",'Tetromino Chars'!$A$1:$B$7,2,FALSE), " ")</f>
        <v>+</v>
      </c>
      <c r="AL19" t="str" cm="1">
        <f t="array" aca="1" ref="AL19" ca="1">IF(FillColor(R19)&gt;0, VLOOKUP("J",'Tetromino Chars'!$A$1:$B$7,2,FALSE), " ")</f>
        <v>+</v>
      </c>
      <c r="AM19" t="str" cm="1">
        <f t="array" aca="1" ref="AM19" ca="1">IF(FillColor(S19)&gt;0, VLOOKUP("J",'Tetromino Chars'!$A$1:$B$7,2,FALSE), " ")</f>
        <v xml:space="preserve"> </v>
      </c>
      <c r="AN19" t="str" cm="1">
        <f t="array" aca="1" ref="AN19" ca="1">IF(FillColor(T19)&gt;0, VLOOKUP("J",'Tetromino Chars'!$A$1:$B$7,2,FALSE), " ")</f>
        <v xml:space="preserve"> </v>
      </c>
      <c r="AP19" t="s">
        <v>8</v>
      </c>
      <c r="AQ19" t="str">
        <f ca="1">"'"&amp;CONCATENATE(V19,W19,X19,Y19)&amp;"'"</f>
        <v>'    '</v>
      </c>
      <c r="AS19" t="s">
        <v>8</v>
      </c>
      <c r="AT19" t="str">
        <f t="shared" ca="1" si="9"/>
        <v>' +  '</v>
      </c>
      <c r="AV19" t="s">
        <v>8</v>
      </c>
      <c r="AW19" t="str">
        <f t="shared" ca="1" si="10"/>
        <v>'  + '</v>
      </c>
      <c r="AY19" t="s">
        <v>8</v>
      </c>
      <c r="AZ19" t="str">
        <f t="shared" ca="1" si="11"/>
        <v>'++  '</v>
      </c>
    </row>
    <row r="20" spans="1:52" ht="15" customHeight="1" thickBot="1" x14ac:dyDescent="0.5">
      <c r="B20" s="7"/>
      <c r="C20" s="8"/>
      <c r="D20" s="8"/>
      <c r="E20" s="9"/>
      <c r="G20" s="7"/>
      <c r="H20" s="8"/>
      <c r="I20" s="8"/>
      <c r="J20" s="9"/>
      <c r="L20" s="7"/>
      <c r="M20" s="8"/>
      <c r="N20" s="8"/>
      <c r="O20" s="9"/>
      <c r="Q20" s="7"/>
      <c r="R20" s="8"/>
      <c r="S20" s="8"/>
      <c r="T20" s="9"/>
      <c r="V20" t="str" cm="1">
        <f t="array" aca="1" ref="V20" ca="1">IF(FillColor(B20)&gt;0, VLOOKUP("J",'Tetromino Chars'!$A$1:$B$7,2,FALSE), " ")</f>
        <v xml:space="preserve"> </v>
      </c>
      <c r="W20" t="str" cm="1">
        <f t="array" aca="1" ref="W20" ca="1">IF(FillColor(C20)&gt;0, VLOOKUP("J",'Tetromino Chars'!$A$1:$B$7,2,FALSE), " ")</f>
        <v xml:space="preserve"> </v>
      </c>
      <c r="X20" t="str" cm="1">
        <f t="array" aca="1" ref="X20" ca="1">IF(FillColor(D20)&gt;0, VLOOKUP("J",'Tetromino Chars'!$A$1:$B$7,2,FALSE), " ")</f>
        <v xml:space="preserve"> </v>
      </c>
      <c r="Y20" t="str" cm="1">
        <f t="array" aca="1" ref="Y20" ca="1">IF(FillColor(E20)&gt;0, VLOOKUP("J",'Tetromino Chars'!$A$1:$B$7,2,FALSE), " ")</f>
        <v xml:space="preserve"> </v>
      </c>
      <c r="AA20" t="str" cm="1">
        <f t="array" aca="1" ref="AA20" ca="1">IF(FillColor(G20)&gt;0, VLOOKUP("J",'Tetromino Chars'!$A$1:$B$7,2,FALSE), " ")</f>
        <v xml:space="preserve"> </v>
      </c>
      <c r="AB20" t="str" cm="1">
        <f t="array" aca="1" ref="AB20" ca="1">IF(FillColor(H20)&gt;0, VLOOKUP("J",'Tetromino Chars'!$A$1:$B$7,2,FALSE), " ")</f>
        <v xml:space="preserve"> </v>
      </c>
      <c r="AC20" t="str" cm="1">
        <f t="array" aca="1" ref="AC20" ca="1">IF(FillColor(I20)&gt;0, VLOOKUP("J",'Tetromino Chars'!$A$1:$B$7,2,FALSE), " ")</f>
        <v xml:space="preserve"> </v>
      </c>
      <c r="AD20" t="str" cm="1">
        <f t="array" aca="1" ref="AD20" ca="1">IF(FillColor(J20)&gt;0, VLOOKUP("J",'Tetromino Chars'!$A$1:$B$7,2,FALSE), " ")</f>
        <v xml:space="preserve"> </v>
      </c>
      <c r="AF20" t="str" cm="1">
        <f t="array" aca="1" ref="AF20" ca="1">IF(FillColor(L20)&gt;0, VLOOKUP("J",'Tetromino Chars'!$A$1:$B$7,2,FALSE), " ")</f>
        <v xml:space="preserve"> </v>
      </c>
      <c r="AG20" t="str" cm="1">
        <f t="array" aca="1" ref="AG20" ca="1">IF(FillColor(M20)&gt;0, VLOOKUP("J",'Tetromino Chars'!$A$1:$B$7,2,FALSE), " ")</f>
        <v xml:space="preserve"> </v>
      </c>
      <c r="AH20" t="str" cm="1">
        <f t="array" aca="1" ref="AH20" ca="1">IF(FillColor(N20)&gt;0, VLOOKUP("J",'Tetromino Chars'!$A$1:$B$7,2,FALSE), " ")</f>
        <v xml:space="preserve"> </v>
      </c>
      <c r="AI20" t="str" cm="1">
        <f t="array" aca="1" ref="AI20" ca="1">IF(FillColor(O20)&gt;0, VLOOKUP("J",'Tetromino Chars'!$A$1:$B$7,2,FALSE), " ")</f>
        <v xml:space="preserve"> </v>
      </c>
      <c r="AK20" t="str" cm="1">
        <f t="array" aca="1" ref="AK20" ca="1">IF(FillColor(Q20)&gt;0, VLOOKUP("J",'Tetromino Chars'!$A$1:$B$7,2,FALSE), " ")</f>
        <v xml:space="preserve"> </v>
      </c>
      <c r="AL20" t="str" cm="1">
        <f t="array" aca="1" ref="AL20" ca="1">IF(FillColor(R20)&gt;0, VLOOKUP("J",'Tetromino Chars'!$A$1:$B$7,2,FALSE), " ")</f>
        <v xml:space="preserve"> </v>
      </c>
      <c r="AM20" t="str" cm="1">
        <f t="array" aca="1" ref="AM20" ca="1">IF(FillColor(S20)&gt;0, VLOOKUP("J",'Tetromino Chars'!$A$1:$B$7,2,FALSE), " ")</f>
        <v xml:space="preserve"> </v>
      </c>
      <c r="AN20" t="str" cm="1">
        <f t="array" aca="1" ref="AN20" ca="1">IF(FillColor(T20)&gt;0, VLOOKUP("J",'Tetromino Chars'!$A$1:$B$7,2,FALSE), " ")</f>
        <v xml:space="preserve"> </v>
      </c>
      <c r="AP20" t="s">
        <v>8</v>
      </c>
      <c r="AQ20" t="str">
        <f ca="1">"'"&amp;CONCATENATE(V20,W20,X20,Y20)&amp;"'"</f>
        <v>'    '</v>
      </c>
      <c r="AS20" t="s">
        <v>8</v>
      </c>
      <c r="AT20" t="str">
        <f t="shared" ca="1" si="9"/>
        <v>'    '</v>
      </c>
      <c r="AV20" t="s">
        <v>8</v>
      </c>
      <c r="AW20" t="str">
        <f t="shared" ca="1" si="10"/>
        <v>'    '</v>
      </c>
      <c r="AY20" t="s">
        <v>8</v>
      </c>
      <c r="AZ20" t="str">
        <f t="shared" ca="1" si="11"/>
        <v>'    '</v>
      </c>
    </row>
    <row r="21" spans="1:52" ht="15" customHeight="1" thickTop="1" thickBot="1" x14ac:dyDescent="0.5"/>
    <row r="22" spans="1:52" ht="15" customHeight="1" thickTop="1" x14ac:dyDescent="0.45">
      <c r="A22" t="s">
        <v>6</v>
      </c>
      <c r="B22" s="2"/>
      <c r="C22" s="14"/>
      <c r="D22" s="3"/>
      <c r="E22" s="4"/>
      <c r="G22" s="2"/>
      <c r="H22" s="14"/>
      <c r="I22" s="3"/>
      <c r="J22" s="4"/>
      <c r="L22" s="2"/>
      <c r="M22" s="3"/>
      <c r="N22" s="3"/>
      <c r="O22" s="4"/>
      <c r="Q22" s="2"/>
      <c r="R22" s="14"/>
      <c r="S22" s="3"/>
      <c r="T22" s="4"/>
      <c r="V22" t="str" cm="1">
        <f t="array" aca="1" ref="V22" ca="1">IF(FillColor(B22)&gt;0, VLOOKUP("T",'Tetromino Chars'!$A$1:$B$7,2,FALSE), " ")</f>
        <v xml:space="preserve"> </v>
      </c>
      <c r="W22" t="str" cm="1">
        <f t="array" aca="1" ref="W22" ca="1">IF(FillColor(C22)&gt;0, VLOOKUP("T",'Tetromino Chars'!$A$1:$B$7,2,FALSE), " ")</f>
        <v>X</v>
      </c>
      <c r="X22" t="str" cm="1">
        <f t="array" aca="1" ref="X22" ca="1">IF(FillColor(D22)&gt;0, VLOOKUP("T",'Tetromino Chars'!$A$1:$B$7,2,FALSE), " ")</f>
        <v xml:space="preserve"> </v>
      </c>
      <c r="Y22" t="str" cm="1">
        <f t="array" aca="1" ref="Y22" ca="1">IF(FillColor(E22)&gt;0, VLOOKUP("T",'Tetromino Chars'!$A$1:$B$7,2,FALSE), " ")</f>
        <v xml:space="preserve"> </v>
      </c>
      <c r="AA22" t="str" cm="1">
        <f t="array" aca="1" ref="AA22" ca="1">IF(FillColor(G22)&gt;0, VLOOKUP("T",'Tetromino Chars'!$A$1:$B$7,2,FALSE), " ")</f>
        <v xml:space="preserve"> </v>
      </c>
      <c r="AB22" t="str" cm="1">
        <f t="array" aca="1" ref="AB22" ca="1">IF(FillColor(H22)&gt;0, VLOOKUP("T",'Tetromino Chars'!$A$1:$B$7,2,FALSE), " ")</f>
        <v>X</v>
      </c>
      <c r="AC22" t="str" cm="1">
        <f t="array" aca="1" ref="AC22" ca="1">IF(FillColor(I22)&gt;0, VLOOKUP("T",'Tetromino Chars'!$A$1:$B$7,2,FALSE), " ")</f>
        <v xml:space="preserve"> </v>
      </c>
      <c r="AD22" t="str" cm="1">
        <f t="array" aca="1" ref="AD22" ca="1">IF(FillColor(J22)&gt;0, VLOOKUP("T",'Tetromino Chars'!$A$1:$B$7,2,FALSE), " ")</f>
        <v xml:space="preserve"> </v>
      </c>
      <c r="AF22" t="str" cm="1">
        <f t="array" aca="1" ref="AF22" ca="1">IF(FillColor(L22)&gt;0, VLOOKUP("T",'Tetromino Chars'!$A$1:$B$7,2,FALSE), " ")</f>
        <v xml:space="preserve"> </v>
      </c>
      <c r="AG22" t="str" cm="1">
        <f t="array" aca="1" ref="AG22" ca="1">IF(FillColor(M22)&gt;0, VLOOKUP("T",'Tetromino Chars'!$A$1:$B$7,2,FALSE), " ")</f>
        <v xml:space="preserve"> </v>
      </c>
      <c r="AH22" t="str" cm="1">
        <f t="array" aca="1" ref="AH22" ca="1">IF(FillColor(N22)&gt;0, VLOOKUP("T",'Tetromino Chars'!$A$1:$B$7,2,FALSE), " ")</f>
        <v xml:space="preserve"> </v>
      </c>
      <c r="AI22" t="str" cm="1">
        <f t="array" aca="1" ref="AI22" ca="1">IF(FillColor(O22)&gt;0, VLOOKUP("T",'Tetromino Chars'!$A$1:$B$7,2,FALSE), " ")</f>
        <v xml:space="preserve"> </v>
      </c>
      <c r="AK22" t="str" cm="1">
        <f t="array" aca="1" ref="AK22" ca="1">IF(FillColor(Q22)&gt;0, VLOOKUP("T",'Tetromino Chars'!$A$1:$B$7,2,FALSE), " ")</f>
        <v xml:space="preserve"> </v>
      </c>
      <c r="AL22" t="str" cm="1">
        <f t="array" aca="1" ref="AL22" ca="1">IF(FillColor(R22)&gt;0, VLOOKUP("T",'Tetromino Chars'!$A$1:$B$7,2,FALSE), " ")</f>
        <v>X</v>
      </c>
      <c r="AM22" t="str" cm="1">
        <f t="array" aca="1" ref="AM22" ca="1">IF(FillColor(S22)&gt;0, VLOOKUP("T",'Tetromino Chars'!$A$1:$B$7,2,FALSE), " ")</f>
        <v xml:space="preserve"> </v>
      </c>
      <c r="AN22" t="str" cm="1">
        <f t="array" aca="1" ref="AN22" ca="1">IF(FillColor(T22)&gt;0, VLOOKUP("T",'Tetromino Chars'!$A$1:$B$7,2,FALSE), " ")</f>
        <v xml:space="preserve"> </v>
      </c>
      <c r="AP22" t="s">
        <v>8</v>
      </c>
      <c r="AQ22" t="str">
        <f ca="1">"'"&amp;CONCATENATE(V22,W22,X22,Y22)&amp;"'"</f>
        <v>' X  '</v>
      </c>
      <c r="AS22" t="s">
        <v>8</v>
      </c>
      <c r="AT22" t="str">
        <f ca="1">"'"&amp;CONCATENATE(AA22,AB22,AC22,AD22)&amp;"'"</f>
        <v>' X  '</v>
      </c>
      <c r="AV22" t="s">
        <v>8</v>
      </c>
      <c r="AW22" t="str">
        <f ca="1">"'"&amp;CONCATENATE(AF22,AG22,AH22,AI22)&amp;"'"</f>
        <v>'    '</v>
      </c>
      <c r="AY22" t="s">
        <v>8</v>
      </c>
      <c r="AZ22" t="str">
        <f ca="1">"'"&amp;CONCATENATE(AK22,AL22,AM22,AN22)&amp;"'"</f>
        <v>' X  '</v>
      </c>
    </row>
    <row r="23" spans="1:52" ht="15" customHeight="1" x14ac:dyDescent="0.45">
      <c r="B23" s="11"/>
      <c r="C23" s="12"/>
      <c r="D23" s="12"/>
      <c r="E23" s="6"/>
      <c r="F23" s="1" t="s">
        <v>10</v>
      </c>
      <c r="G23" s="5"/>
      <c r="H23" s="12"/>
      <c r="I23" s="12"/>
      <c r="J23" s="6"/>
      <c r="K23" s="1" t="s">
        <v>9</v>
      </c>
      <c r="L23" s="11"/>
      <c r="M23" s="12"/>
      <c r="N23" s="12"/>
      <c r="O23" s="6"/>
      <c r="P23" s="1" t="s">
        <v>12</v>
      </c>
      <c r="Q23" s="11"/>
      <c r="R23" s="12"/>
      <c r="S23" s="10"/>
      <c r="T23" s="6"/>
      <c r="U23" s="17" t="s">
        <v>11</v>
      </c>
      <c r="V23" t="str" cm="1">
        <f t="array" aca="1" ref="V23" ca="1">IF(FillColor(B23)&gt;0, VLOOKUP("T",'Tetromino Chars'!$A$1:$B$7,2,FALSE), " ")</f>
        <v>X</v>
      </c>
      <c r="W23" t="str" cm="1">
        <f t="array" aca="1" ref="W23" ca="1">IF(FillColor(C23)&gt;0, VLOOKUP("T",'Tetromino Chars'!$A$1:$B$7,2,FALSE), " ")</f>
        <v>X</v>
      </c>
      <c r="X23" t="str" cm="1">
        <f t="array" aca="1" ref="X23" ca="1">IF(FillColor(D23)&gt;0, VLOOKUP("T",'Tetromino Chars'!$A$1:$B$7,2,FALSE), " ")</f>
        <v>X</v>
      </c>
      <c r="Y23" t="str" cm="1">
        <f t="array" aca="1" ref="Y23" ca="1">IF(FillColor(E23)&gt;0, VLOOKUP("T",'Tetromino Chars'!$A$1:$B$7,2,FALSE), " ")</f>
        <v xml:space="preserve"> </v>
      </c>
      <c r="AA23" t="str" cm="1">
        <f t="array" aca="1" ref="AA23" ca="1">IF(FillColor(G23)&gt;0, VLOOKUP("T",'Tetromino Chars'!$A$1:$B$7,2,FALSE), " ")</f>
        <v xml:space="preserve"> </v>
      </c>
      <c r="AB23" t="str" cm="1">
        <f t="array" aca="1" ref="AB23" ca="1">IF(FillColor(H23)&gt;0, VLOOKUP("T",'Tetromino Chars'!$A$1:$B$7,2,FALSE), " ")</f>
        <v>X</v>
      </c>
      <c r="AC23" t="str" cm="1">
        <f t="array" aca="1" ref="AC23" ca="1">IF(FillColor(I23)&gt;0, VLOOKUP("T",'Tetromino Chars'!$A$1:$B$7,2,FALSE), " ")</f>
        <v>X</v>
      </c>
      <c r="AD23" t="str" cm="1">
        <f t="array" aca="1" ref="AD23" ca="1">IF(FillColor(J23)&gt;0, VLOOKUP("T",'Tetromino Chars'!$A$1:$B$7,2,FALSE), " ")</f>
        <v xml:space="preserve"> </v>
      </c>
      <c r="AF23" t="str" cm="1">
        <f t="array" aca="1" ref="AF23" ca="1">IF(FillColor(L23)&gt;0, VLOOKUP("T",'Tetromino Chars'!$A$1:$B$7,2,FALSE), " ")</f>
        <v>X</v>
      </c>
      <c r="AG23" t="str" cm="1">
        <f t="array" aca="1" ref="AG23" ca="1">IF(FillColor(M23)&gt;0, VLOOKUP("T",'Tetromino Chars'!$A$1:$B$7,2,FALSE), " ")</f>
        <v>X</v>
      </c>
      <c r="AH23" t="str" cm="1">
        <f t="array" aca="1" ref="AH23" ca="1">IF(FillColor(N23)&gt;0, VLOOKUP("T",'Tetromino Chars'!$A$1:$B$7,2,FALSE), " ")</f>
        <v>X</v>
      </c>
      <c r="AI23" t="str" cm="1">
        <f t="array" aca="1" ref="AI23" ca="1">IF(FillColor(O23)&gt;0, VLOOKUP("T",'Tetromino Chars'!$A$1:$B$7,2,FALSE), " ")</f>
        <v xml:space="preserve"> </v>
      </c>
      <c r="AK23" t="str" cm="1">
        <f t="array" aca="1" ref="AK23" ca="1">IF(FillColor(Q23)&gt;0, VLOOKUP("T",'Tetromino Chars'!$A$1:$B$7,2,FALSE), " ")</f>
        <v>X</v>
      </c>
      <c r="AL23" t="str" cm="1">
        <f t="array" aca="1" ref="AL23" ca="1">IF(FillColor(R23)&gt;0, VLOOKUP("T",'Tetromino Chars'!$A$1:$B$7,2,FALSE), " ")</f>
        <v>X</v>
      </c>
      <c r="AM23" t="str" cm="1">
        <f t="array" aca="1" ref="AM23" ca="1">IF(FillColor(S23)&gt;0, VLOOKUP("T",'Tetromino Chars'!$A$1:$B$7,2,FALSE), " ")</f>
        <v xml:space="preserve"> </v>
      </c>
      <c r="AN23" t="str" cm="1">
        <f t="array" aca="1" ref="AN23" ca="1">IF(FillColor(T23)&gt;0, VLOOKUP("T",'Tetromino Chars'!$A$1:$B$7,2,FALSE), " ")</f>
        <v xml:space="preserve"> </v>
      </c>
      <c r="AP23" t="s">
        <v>8</v>
      </c>
      <c r="AQ23" t="str">
        <f ca="1">"'"&amp;CONCATENATE(V23,W23,X23,Y23)&amp;"'"</f>
        <v>'XXX '</v>
      </c>
      <c r="AS23" t="s">
        <v>8</v>
      </c>
      <c r="AT23" t="str">
        <f t="shared" ref="AT23:AT25" ca="1" si="12">"'"&amp;CONCATENATE(AA23,AB23,AC23,AD23)&amp;"'"</f>
        <v>' XX '</v>
      </c>
      <c r="AV23" t="s">
        <v>8</v>
      </c>
      <c r="AW23" t="str">
        <f t="shared" ref="AW23:AW25" ca="1" si="13">"'"&amp;CONCATENATE(AF23,AG23,AH23,AI23)&amp;"'"</f>
        <v>'XXX '</v>
      </c>
      <c r="AY23" t="s">
        <v>8</v>
      </c>
      <c r="AZ23" t="str">
        <f t="shared" ref="AZ23:AZ25" ca="1" si="14">"'"&amp;CONCATENATE(AK23,AL23,AM23,AN23)&amp;"'"</f>
        <v>'XX  '</v>
      </c>
    </row>
    <row r="24" spans="1:52" ht="15" customHeight="1" x14ac:dyDescent="0.45">
      <c r="B24" s="5"/>
      <c r="C24" s="10"/>
      <c r="D24" s="10"/>
      <c r="E24" s="6"/>
      <c r="G24" s="5"/>
      <c r="H24" s="12"/>
      <c r="I24" s="10"/>
      <c r="J24" s="6"/>
      <c r="L24" s="5"/>
      <c r="M24" s="12"/>
      <c r="N24" s="10"/>
      <c r="O24" s="6"/>
      <c r="Q24" s="5"/>
      <c r="R24" s="12"/>
      <c r="S24" s="10"/>
      <c r="T24" s="6"/>
      <c r="V24" t="str" cm="1">
        <f t="array" aca="1" ref="V24" ca="1">IF(FillColor(B24)&gt;0, VLOOKUP("T",'Tetromino Chars'!$A$1:$B$7,2,FALSE), " ")</f>
        <v xml:space="preserve"> </v>
      </c>
      <c r="W24" t="str" cm="1">
        <f t="array" aca="1" ref="W24" ca="1">IF(FillColor(C24)&gt;0, VLOOKUP("T",'Tetromino Chars'!$A$1:$B$7,2,FALSE), " ")</f>
        <v xml:space="preserve"> </v>
      </c>
      <c r="X24" t="str" cm="1">
        <f t="array" aca="1" ref="X24" ca="1">IF(FillColor(D24)&gt;0, VLOOKUP("T",'Tetromino Chars'!$A$1:$B$7,2,FALSE), " ")</f>
        <v xml:space="preserve"> </v>
      </c>
      <c r="Y24" t="str" cm="1">
        <f t="array" aca="1" ref="Y24" ca="1">IF(FillColor(E24)&gt;0, VLOOKUP("T",'Tetromino Chars'!$A$1:$B$7,2,FALSE), " ")</f>
        <v xml:space="preserve"> </v>
      </c>
      <c r="AA24" t="str" cm="1">
        <f t="array" aca="1" ref="AA24" ca="1">IF(FillColor(G24)&gt;0, VLOOKUP("T",'Tetromino Chars'!$A$1:$B$7,2,FALSE), " ")</f>
        <v xml:space="preserve"> </v>
      </c>
      <c r="AB24" t="str" cm="1">
        <f t="array" aca="1" ref="AB24" ca="1">IF(FillColor(H24)&gt;0, VLOOKUP("T",'Tetromino Chars'!$A$1:$B$7,2,FALSE), " ")</f>
        <v>X</v>
      </c>
      <c r="AC24" t="str" cm="1">
        <f t="array" aca="1" ref="AC24" ca="1">IF(FillColor(I24)&gt;0, VLOOKUP("T",'Tetromino Chars'!$A$1:$B$7,2,FALSE), " ")</f>
        <v xml:space="preserve"> </v>
      </c>
      <c r="AD24" t="str" cm="1">
        <f t="array" aca="1" ref="AD24" ca="1">IF(FillColor(J24)&gt;0, VLOOKUP("T",'Tetromino Chars'!$A$1:$B$7,2,FALSE), " ")</f>
        <v xml:space="preserve"> </v>
      </c>
      <c r="AF24" t="str" cm="1">
        <f t="array" aca="1" ref="AF24" ca="1">IF(FillColor(L24)&gt;0, VLOOKUP("T",'Tetromino Chars'!$A$1:$B$7,2,FALSE), " ")</f>
        <v xml:space="preserve"> </v>
      </c>
      <c r="AG24" t="str" cm="1">
        <f t="array" aca="1" ref="AG24" ca="1">IF(FillColor(M24)&gt;0, VLOOKUP("T",'Tetromino Chars'!$A$1:$B$7,2,FALSE), " ")</f>
        <v>X</v>
      </c>
      <c r="AH24" t="str" cm="1">
        <f t="array" aca="1" ref="AH24" ca="1">IF(FillColor(N24)&gt;0, VLOOKUP("T",'Tetromino Chars'!$A$1:$B$7,2,FALSE), " ")</f>
        <v xml:space="preserve"> </v>
      </c>
      <c r="AI24" t="str" cm="1">
        <f t="array" aca="1" ref="AI24" ca="1">IF(FillColor(O24)&gt;0, VLOOKUP("T",'Tetromino Chars'!$A$1:$B$7,2,FALSE), " ")</f>
        <v xml:space="preserve"> </v>
      </c>
      <c r="AK24" t="str" cm="1">
        <f t="array" aca="1" ref="AK24" ca="1">IF(FillColor(Q24)&gt;0, VLOOKUP("T",'Tetromino Chars'!$A$1:$B$7,2,FALSE), " ")</f>
        <v xml:space="preserve"> </v>
      </c>
      <c r="AL24" t="str" cm="1">
        <f t="array" aca="1" ref="AL24" ca="1">IF(FillColor(R24)&gt;0, VLOOKUP("T",'Tetromino Chars'!$A$1:$B$7,2,FALSE), " ")</f>
        <v>X</v>
      </c>
      <c r="AM24" t="str" cm="1">
        <f t="array" aca="1" ref="AM24" ca="1">IF(FillColor(S24)&gt;0, VLOOKUP("T",'Tetromino Chars'!$A$1:$B$7,2,FALSE), " ")</f>
        <v xml:space="preserve"> </v>
      </c>
      <c r="AN24" t="str" cm="1">
        <f t="array" aca="1" ref="AN24" ca="1">IF(FillColor(T24)&gt;0, VLOOKUP("T",'Tetromino Chars'!$A$1:$B$7,2,FALSE), " ")</f>
        <v xml:space="preserve"> </v>
      </c>
      <c r="AP24" t="s">
        <v>8</v>
      </c>
      <c r="AQ24" t="str">
        <f ca="1">"'"&amp;CONCATENATE(V24,W24,X24,Y24)&amp;"'"</f>
        <v>'    '</v>
      </c>
      <c r="AS24" t="s">
        <v>8</v>
      </c>
      <c r="AT24" t="str">
        <f t="shared" ca="1" si="12"/>
        <v>' X  '</v>
      </c>
      <c r="AV24" t="s">
        <v>8</v>
      </c>
      <c r="AW24" t="str">
        <f t="shared" ca="1" si="13"/>
        <v>' X  '</v>
      </c>
      <c r="AY24" t="s">
        <v>8</v>
      </c>
      <c r="AZ24" t="str">
        <f t="shared" ca="1" si="14"/>
        <v>' X  '</v>
      </c>
    </row>
    <row r="25" spans="1:52" ht="15" customHeight="1" thickBot="1" x14ac:dyDescent="0.5">
      <c r="B25" s="7"/>
      <c r="C25" s="8"/>
      <c r="D25" s="8"/>
      <c r="E25" s="9"/>
      <c r="G25" s="7"/>
      <c r="H25" s="8"/>
      <c r="I25" s="8"/>
      <c r="J25" s="9"/>
      <c r="L25" s="7"/>
      <c r="M25" s="8"/>
      <c r="N25" s="8"/>
      <c r="O25" s="9"/>
      <c r="Q25" s="7"/>
      <c r="R25" s="8"/>
      <c r="S25" s="8"/>
      <c r="T25" s="9"/>
      <c r="V25" t="str" cm="1">
        <f t="array" aca="1" ref="V25" ca="1">IF(FillColor(B25)&gt;0, VLOOKUP("T",'Tetromino Chars'!$A$1:$B$7,2,FALSE), " ")</f>
        <v xml:space="preserve"> </v>
      </c>
      <c r="W25" t="str" cm="1">
        <f t="array" aca="1" ref="W25" ca="1">IF(FillColor(C25)&gt;0, VLOOKUP("T",'Tetromino Chars'!$A$1:$B$7,2,FALSE), " ")</f>
        <v xml:space="preserve"> </v>
      </c>
      <c r="X25" t="str" cm="1">
        <f t="array" aca="1" ref="X25" ca="1">IF(FillColor(D25)&gt;0, VLOOKUP("T",'Tetromino Chars'!$A$1:$B$7,2,FALSE), " ")</f>
        <v xml:space="preserve"> </v>
      </c>
      <c r="Y25" t="str" cm="1">
        <f t="array" aca="1" ref="Y25" ca="1">IF(FillColor(E25)&gt;0, VLOOKUP("T",'Tetromino Chars'!$A$1:$B$7,2,FALSE), " ")</f>
        <v xml:space="preserve"> </v>
      </c>
      <c r="AA25" t="str" cm="1">
        <f t="array" aca="1" ref="AA25" ca="1">IF(FillColor(G25)&gt;0, VLOOKUP("T",'Tetromino Chars'!$A$1:$B$7,2,FALSE), " ")</f>
        <v xml:space="preserve"> </v>
      </c>
      <c r="AB25" t="str" cm="1">
        <f t="array" aca="1" ref="AB25" ca="1">IF(FillColor(H25)&gt;0, VLOOKUP("T",'Tetromino Chars'!$A$1:$B$7,2,FALSE), " ")</f>
        <v xml:space="preserve"> </v>
      </c>
      <c r="AC25" t="str" cm="1">
        <f t="array" aca="1" ref="AC25" ca="1">IF(FillColor(I25)&gt;0, VLOOKUP("T",'Tetromino Chars'!$A$1:$B$7,2,FALSE), " ")</f>
        <v xml:space="preserve"> </v>
      </c>
      <c r="AD25" t="str" cm="1">
        <f t="array" aca="1" ref="AD25" ca="1">IF(FillColor(J25)&gt;0, VLOOKUP("T",'Tetromino Chars'!$A$1:$B$7,2,FALSE), " ")</f>
        <v xml:space="preserve"> </v>
      </c>
      <c r="AF25" t="str" cm="1">
        <f t="array" aca="1" ref="AF25" ca="1">IF(FillColor(L25)&gt;0, VLOOKUP("T",'Tetromino Chars'!$A$1:$B$7,2,FALSE), " ")</f>
        <v xml:space="preserve"> </v>
      </c>
      <c r="AG25" t="str" cm="1">
        <f t="array" aca="1" ref="AG25" ca="1">IF(FillColor(M25)&gt;0, VLOOKUP("T",'Tetromino Chars'!$A$1:$B$7,2,FALSE), " ")</f>
        <v xml:space="preserve"> </v>
      </c>
      <c r="AH25" t="str" cm="1">
        <f t="array" aca="1" ref="AH25" ca="1">IF(FillColor(N25)&gt;0, VLOOKUP("T",'Tetromino Chars'!$A$1:$B$7,2,FALSE), " ")</f>
        <v xml:space="preserve"> </v>
      </c>
      <c r="AI25" t="str" cm="1">
        <f t="array" aca="1" ref="AI25" ca="1">IF(FillColor(O25)&gt;0, VLOOKUP("T",'Tetromino Chars'!$A$1:$B$7,2,FALSE), " ")</f>
        <v xml:space="preserve"> </v>
      </c>
      <c r="AK25" t="str" cm="1">
        <f t="array" aca="1" ref="AK25" ca="1">IF(FillColor(Q25)&gt;0, VLOOKUP("T",'Tetromino Chars'!$A$1:$B$7,2,FALSE), " ")</f>
        <v xml:space="preserve"> </v>
      </c>
      <c r="AL25" t="str" cm="1">
        <f t="array" aca="1" ref="AL25" ca="1">IF(FillColor(R25)&gt;0, VLOOKUP("T",'Tetromino Chars'!$A$1:$B$7,2,FALSE), " ")</f>
        <v xml:space="preserve"> </v>
      </c>
      <c r="AM25" t="str" cm="1">
        <f t="array" aca="1" ref="AM25" ca="1">IF(FillColor(S25)&gt;0, VLOOKUP("T",'Tetromino Chars'!$A$1:$B$7,2,FALSE), " ")</f>
        <v xml:space="preserve"> </v>
      </c>
      <c r="AN25" t="str" cm="1">
        <f t="array" aca="1" ref="AN25" ca="1">IF(FillColor(T25)&gt;0, VLOOKUP("T",'Tetromino Chars'!$A$1:$B$7,2,FALSE), " ")</f>
        <v xml:space="preserve"> </v>
      </c>
      <c r="AP25" t="s">
        <v>8</v>
      </c>
      <c r="AQ25" t="str">
        <f ca="1">"'"&amp;CONCATENATE(V25,W25,X25,Y25)&amp;"'"</f>
        <v>'    '</v>
      </c>
      <c r="AS25" t="s">
        <v>8</v>
      </c>
      <c r="AT25" t="str">
        <f t="shared" ca="1" si="12"/>
        <v>'    '</v>
      </c>
      <c r="AV25" t="s">
        <v>8</v>
      </c>
      <c r="AW25" t="str">
        <f t="shared" ca="1" si="13"/>
        <v>'    '</v>
      </c>
      <c r="AY25" t="s">
        <v>8</v>
      </c>
      <c r="AZ25" t="str">
        <f t="shared" ca="1" si="14"/>
        <v>'    '</v>
      </c>
    </row>
    <row r="26" spans="1:52" ht="15" customHeight="1" thickTop="1" thickBot="1" x14ac:dyDescent="0.5"/>
    <row r="27" spans="1:52" ht="15" customHeight="1" thickTop="1" x14ac:dyDescent="0.45">
      <c r="A27" t="s">
        <v>7</v>
      </c>
      <c r="B27" s="2"/>
      <c r="C27" s="3"/>
      <c r="D27" s="3"/>
      <c r="E27" s="4"/>
      <c r="G27" s="2"/>
      <c r="H27" s="3"/>
      <c r="I27" s="14"/>
      <c r="J27" s="4"/>
      <c r="L27" s="2"/>
      <c r="M27" s="3"/>
      <c r="N27" s="3"/>
      <c r="O27" s="4"/>
      <c r="Q27" s="2"/>
      <c r="R27" s="14"/>
      <c r="S27" s="3"/>
      <c r="T27" s="4"/>
      <c r="V27" t="str" cm="1">
        <f t="array" aca="1" ref="V27" ca="1">IF(FillColor(B27)&gt;0, VLOOKUP("I",'Tetromino Chars'!$A$1:$B$7,2,FALSE), " ")</f>
        <v xml:space="preserve"> </v>
      </c>
      <c r="W27" t="str" cm="1">
        <f t="array" aca="1" ref="W27" ca="1">IF(FillColor(C27)&gt;0, VLOOKUP("I",'Tetromino Chars'!$A$1:$B$7,2,FALSE), " ")</f>
        <v xml:space="preserve"> </v>
      </c>
      <c r="X27" t="str" cm="1">
        <f t="array" aca="1" ref="X27" ca="1">IF(FillColor(D27)&gt;0, VLOOKUP("I",'Tetromino Chars'!$A$1:$B$7,2,FALSE), " ")</f>
        <v xml:space="preserve"> </v>
      </c>
      <c r="Y27" t="str" cm="1">
        <f t="array" aca="1" ref="Y27" ca="1">IF(FillColor(E27)&gt;0, VLOOKUP("I",'Tetromino Chars'!$A$1:$B$7,2,FALSE), " ")</f>
        <v xml:space="preserve"> </v>
      </c>
      <c r="AA27" t="str" cm="1">
        <f t="array" aca="1" ref="AA27" ca="1">IF(FillColor(G27)&gt;0, VLOOKUP("I",'Tetromino Chars'!$A$1:$B$7,2,FALSE), " ")</f>
        <v xml:space="preserve"> </v>
      </c>
      <c r="AB27" t="str" cm="1">
        <f t="array" aca="1" ref="AB27" ca="1">IF(FillColor(H27)&gt;0, VLOOKUP("I",'Tetromino Chars'!$A$1:$B$7,2,FALSE), " ")</f>
        <v xml:space="preserve"> </v>
      </c>
      <c r="AC27" t="str" cm="1">
        <f t="array" aca="1" ref="AC27" ca="1">IF(FillColor(I27)&gt;0, VLOOKUP("I",'Tetromino Chars'!$A$1:$B$7,2,FALSE), " ")</f>
        <v>H</v>
      </c>
      <c r="AD27" t="str" cm="1">
        <f t="array" aca="1" ref="AD27" ca="1">IF(FillColor(J27)&gt;0, VLOOKUP("I",'Tetromino Chars'!$A$1:$B$7,2,FALSE), " ")</f>
        <v xml:space="preserve"> </v>
      </c>
      <c r="AF27" t="str" cm="1">
        <f t="array" aca="1" ref="AF27" ca="1">IF(FillColor(L27)&gt;0, VLOOKUP("I",'Tetromino Chars'!$A$1:$B$7,2,FALSE), " ")</f>
        <v xml:space="preserve"> </v>
      </c>
      <c r="AG27" t="str" cm="1">
        <f t="array" aca="1" ref="AG27" ca="1">IF(FillColor(M27)&gt;0, VLOOKUP("I",'Tetromino Chars'!$A$1:$B$7,2,FALSE), " ")</f>
        <v xml:space="preserve"> </v>
      </c>
      <c r="AH27" t="str" cm="1">
        <f t="array" aca="1" ref="AH27" ca="1">IF(FillColor(N27)&gt;0, VLOOKUP("I",'Tetromino Chars'!$A$1:$B$7,2,FALSE), " ")</f>
        <v xml:space="preserve"> </v>
      </c>
      <c r="AI27" t="str" cm="1">
        <f t="array" aca="1" ref="AI27" ca="1">IF(FillColor(O27)&gt;0, VLOOKUP("I",'Tetromino Chars'!$A$1:$B$7,2,FALSE), " ")</f>
        <v xml:space="preserve"> </v>
      </c>
      <c r="AK27" t="str" cm="1">
        <f t="array" aca="1" ref="AK27" ca="1">IF(FillColor(Q27)&gt;0, VLOOKUP("I",'Tetromino Chars'!$A$1:$B$7,2,FALSE), " ")</f>
        <v xml:space="preserve"> </v>
      </c>
      <c r="AL27" t="str" cm="1">
        <f t="array" aca="1" ref="AL27" ca="1">IF(FillColor(R27)&gt;0, VLOOKUP("I",'Tetromino Chars'!$A$1:$B$7,2,FALSE), " ")</f>
        <v>H</v>
      </c>
      <c r="AM27" t="str" cm="1">
        <f t="array" aca="1" ref="AM27" ca="1">IF(FillColor(S27)&gt;0, VLOOKUP("I",'Tetromino Chars'!$A$1:$B$7,2,FALSE), " ")</f>
        <v xml:space="preserve"> </v>
      </c>
      <c r="AN27" t="str" cm="1">
        <f t="array" aca="1" ref="AN27" ca="1">IF(FillColor(T27)&gt;0, VLOOKUP("I",'Tetromino Chars'!$A$1:$B$7,2,FALSE), " ")</f>
        <v xml:space="preserve"> </v>
      </c>
      <c r="AP27" t="s">
        <v>8</v>
      </c>
      <c r="AQ27" t="str">
        <f ca="1">"'"&amp;CONCATENATE(V27,W27,X27,Y27)&amp;"'"</f>
        <v>'    '</v>
      </c>
      <c r="AS27" t="s">
        <v>8</v>
      </c>
      <c r="AT27" t="str">
        <f ca="1">"'"&amp;CONCATENATE(AA27,AB27,AC27,AD27)&amp;"'"</f>
        <v>'  H '</v>
      </c>
      <c r="AV27" t="s">
        <v>8</v>
      </c>
      <c r="AW27" t="str">
        <f ca="1">"'"&amp;CONCATENATE(AF27,AG27,AH27,AI27)&amp;"'"</f>
        <v>'    '</v>
      </c>
      <c r="AY27" t="s">
        <v>8</v>
      </c>
      <c r="AZ27" t="str">
        <f ca="1">"'"&amp;CONCATENATE(AK27,AL27,AM27,AN27)&amp;"'"</f>
        <v>' H  '</v>
      </c>
    </row>
    <row r="28" spans="1:52" ht="15" customHeight="1" x14ac:dyDescent="0.45">
      <c r="B28" s="11"/>
      <c r="C28" s="12"/>
      <c r="D28" s="12"/>
      <c r="E28" s="13"/>
      <c r="F28" s="1" t="s">
        <v>14</v>
      </c>
      <c r="G28" s="5"/>
      <c r="H28" s="10"/>
      <c r="I28" s="12"/>
      <c r="J28" s="6"/>
      <c r="K28" s="1" t="s">
        <v>17</v>
      </c>
      <c r="L28" s="5"/>
      <c r="M28" s="10"/>
      <c r="N28" s="10"/>
      <c r="O28" s="6"/>
      <c r="P28" s="1" t="s">
        <v>14</v>
      </c>
      <c r="Q28" s="5"/>
      <c r="R28" s="12"/>
      <c r="S28" s="10"/>
      <c r="T28" s="6"/>
      <c r="U28" s="17" t="s">
        <v>17</v>
      </c>
      <c r="V28" t="str" cm="1">
        <f t="array" aca="1" ref="V28" ca="1">IF(FillColor(B28)&gt;0, VLOOKUP("I",'Tetromino Chars'!$A$1:$B$7,2,FALSE), " ")</f>
        <v>H</v>
      </c>
      <c r="W28" t="str" cm="1">
        <f t="array" aca="1" ref="W28" ca="1">IF(FillColor(C28)&gt;0, VLOOKUP("I",'Tetromino Chars'!$A$1:$B$7,2,FALSE), " ")</f>
        <v>H</v>
      </c>
      <c r="X28" t="str" cm="1">
        <f t="array" aca="1" ref="X28" ca="1">IF(FillColor(D28)&gt;0, VLOOKUP("I",'Tetromino Chars'!$A$1:$B$7,2,FALSE), " ")</f>
        <v>H</v>
      </c>
      <c r="Y28" t="str" cm="1">
        <f t="array" aca="1" ref="Y28" ca="1">IF(FillColor(E28)&gt;0, VLOOKUP("I",'Tetromino Chars'!$A$1:$B$7,2,FALSE), " ")</f>
        <v>H</v>
      </c>
      <c r="AA28" t="str" cm="1">
        <f t="array" aca="1" ref="AA28" ca="1">IF(FillColor(G28)&gt;0, VLOOKUP("I",'Tetromino Chars'!$A$1:$B$7,2,FALSE), " ")</f>
        <v xml:space="preserve"> </v>
      </c>
      <c r="AB28" t="str" cm="1">
        <f t="array" aca="1" ref="AB28" ca="1">IF(FillColor(H28)&gt;0, VLOOKUP("I",'Tetromino Chars'!$A$1:$B$7,2,FALSE), " ")</f>
        <v xml:space="preserve"> </v>
      </c>
      <c r="AC28" t="str" cm="1">
        <f t="array" aca="1" ref="AC28" ca="1">IF(FillColor(I28)&gt;0, VLOOKUP("I",'Tetromino Chars'!$A$1:$B$7,2,FALSE), " ")</f>
        <v>H</v>
      </c>
      <c r="AD28" t="str" cm="1">
        <f t="array" aca="1" ref="AD28" ca="1">IF(FillColor(J28)&gt;0, VLOOKUP("I",'Tetromino Chars'!$A$1:$B$7,2,FALSE), " ")</f>
        <v xml:space="preserve"> </v>
      </c>
      <c r="AF28" t="str" cm="1">
        <f t="array" aca="1" ref="AF28" ca="1">IF(FillColor(L28)&gt;0, VLOOKUP("I",'Tetromino Chars'!$A$1:$B$7,2,FALSE), " ")</f>
        <v xml:space="preserve"> </v>
      </c>
      <c r="AG28" t="str" cm="1">
        <f t="array" aca="1" ref="AG28" ca="1">IF(FillColor(M28)&gt;0, VLOOKUP("I",'Tetromino Chars'!$A$1:$B$7,2,FALSE), " ")</f>
        <v xml:space="preserve"> </v>
      </c>
      <c r="AH28" t="str" cm="1">
        <f t="array" aca="1" ref="AH28" ca="1">IF(FillColor(N28)&gt;0, VLOOKUP("I",'Tetromino Chars'!$A$1:$B$7,2,FALSE), " ")</f>
        <v xml:space="preserve"> </v>
      </c>
      <c r="AI28" t="str" cm="1">
        <f t="array" aca="1" ref="AI28" ca="1">IF(FillColor(O28)&gt;0, VLOOKUP("I",'Tetromino Chars'!$A$1:$B$7,2,FALSE), " ")</f>
        <v xml:space="preserve"> </v>
      </c>
      <c r="AK28" t="str" cm="1">
        <f t="array" aca="1" ref="AK28" ca="1">IF(FillColor(Q28)&gt;0, VLOOKUP("I",'Tetromino Chars'!$A$1:$B$7,2,FALSE), " ")</f>
        <v xml:space="preserve"> </v>
      </c>
      <c r="AL28" t="str" cm="1">
        <f t="array" aca="1" ref="AL28" ca="1">IF(FillColor(R28)&gt;0, VLOOKUP("I",'Tetromino Chars'!$A$1:$B$7,2,FALSE), " ")</f>
        <v>H</v>
      </c>
      <c r="AM28" t="str" cm="1">
        <f t="array" aca="1" ref="AM28" ca="1">IF(FillColor(S28)&gt;0, VLOOKUP("I",'Tetromino Chars'!$A$1:$B$7,2,FALSE), " ")</f>
        <v xml:space="preserve"> </v>
      </c>
      <c r="AN28" t="str" cm="1">
        <f t="array" aca="1" ref="AN28" ca="1">IF(FillColor(T28)&gt;0, VLOOKUP("I",'Tetromino Chars'!$A$1:$B$7,2,FALSE), " ")</f>
        <v xml:space="preserve"> </v>
      </c>
      <c r="AP28" t="s">
        <v>8</v>
      </c>
      <c r="AQ28" t="str">
        <f ca="1">"'"&amp;CONCATENATE(V28,W28,X28,Y28)&amp;"'"</f>
        <v>'HHHH'</v>
      </c>
      <c r="AS28" t="s">
        <v>8</v>
      </c>
      <c r="AT28" t="str">
        <f t="shared" ref="AT28:AT30" ca="1" si="15">"'"&amp;CONCATENATE(AA28,AB28,AC28,AD28)&amp;"'"</f>
        <v>'  H '</v>
      </c>
      <c r="AV28" t="s">
        <v>8</v>
      </c>
      <c r="AW28" t="str">
        <f t="shared" ref="AW28:AW30" ca="1" si="16">"'"&amp;CONCATENATE(AF28,AG28,AH28,AI28)&amp;"'"</f>
        <v>'    '</v>
      </c>
      <c r="AY28" t="s">
        <v>8</v>
      </c>
      <c r="AZ28" t="str">
        <f t="shared" ref="AZ28:AZ30" ca="1" si="17">"'"&amp;CONCATENATE(AK28,AL28,AM28,AN28)&amp;"'"</f>
        <v>' H  '</v>
      </c>
    </row>
    <row r="29" spans="1:52" ht="15" customHeight="1" x14ac:dyDescent="0.45">
      <c r="B29" s="5"/>
      <c r="C29" s="10"/>
      <c r="D29" s="10"/>
      <c r="E29" s="6"/>
      <c r="F29" s="1" t="s">
        <v>15</v>
      </c>
      <c r="G29" s="5"/>
      <c r="H29" s="10"/>
      <c r="I29" s="12"/>
      <c r="J29" s="6"/>
      <c r="K29" s="1" t="s">
        <v>19</v>
      </c>
      <c r="L29" s="11"/>
      <c r="M29" s="12"/>
      <c r="N29" s="12"/>
      <c r="O29" s="13"/>
      <c r="P29" s="1" t="s">
        <v>21</v>
      </c>
      <c r="Q29" s="5"/>
      <c r="R29" s="12"/>
      <c r="S29" s="10"/>
      <c r="T29" s="6"/>
      <c r="U29" s="17" t="s">
        <v>18</v>
      </c>
      <c r="V29" t="str" cm="1">
        <f t="array" aca="1" ref="V29" ca="1">IF(FillColor(B29)&gt;0, VLOOKUP("I",'Tetromino Chars'!$A$1:$B$7,2,FALSE), " ")</f>
        <v xml:space="preserve"> </v>
      </c>
      <c r="W29" t="str" cm="1">
        <f t="array" aca="1" ref="W29" ca="1">IF(FillColor(C29)&gt;0, VLOOKUP("I",'Tetromino Chars'!$A$1:$B$7,2,FALSE), " ")</f>
        <v xml:space="preserve"> </v>
      </c>
      <c r="X29" t="str" cm="1">
        <f t="array" aca="1" ref="X29" ca="1">IF(FillColor(D29)&gt;0, VLOOKUP("I",'Tetromino Chars'!$A$1:$B$7,2,FALSE), " ")</f>
        <v xml:space="preserve"> </v>
      </c>
      <c r="Y29" t="str" cm="1">
        <f t="array" aca="1" ref="Y29" ca="1">IF(FillColor(E29)&gt;0, VLOOKUP("I",'Tetromino Chars'!$A$1:$B$7,2,FALSE), " ")</f>
        <v xml:space="preserve"> </v>
      </c>
      <c r="AA29" t="str" cm="1">
        <f t="array" aca="1" ref="AA29" ca="1">IF(FillColor(G29)&gt;0, VLOOKUP("I",'Tetromino Chars'!$A$1:$B$7,2,FALSE), " ")</f>
        <v xml:space="preserve"> </v>
      </c>
      <c r="AB29" t="str" cm="1">
        <f t="array" aca="1" ref="AB29" ca="1">IF(FillColor(H29)&gt;0, VLOOKUP("I",'Tetromino Chars'!$A$1:$B$7,2,FALSE), " ")</f>
        <v xml:space="preserve"> </v>
      </c>
      <c r="AC29" t="str" cm="1">
        <f t="array" aca="1" ref="AC29" ca="1">IF(FillColor(I29)&gt;0, VLOOKUP("I",'Tetromino Chars'!$A$1:$B$7,2,FALSE), " ")</f>
        <v>H</v>
      </c>
      <c r="AD29" t="str" cm="1">
        <f t="array" aca="1" ref="AD29" ca="1">IF(FillColor(J29)&gt;0, VLOOKUP("I",'Tetromino Chars'!$A$1:$B$7,2,FALSE), " ")</f>
        <v xml:space="preserve"> </v>
      </c>
      <c r="AF29" t="str" cm="1">
        <f t="array" aca="1" ref="AF29" ca="1">IF(FillColor(L29)&gt;0, VLOOKUP("I",'Tetromino Chars'!$A$1:$B$7,2,FALSE), " ")</f>
        <v>H</v>
      </c>
      <c r="AG29" t="str" cm="1">
        <f t="array" aca="1" ref="AG29" ca="1">IF(FillColor(M29)&gt;0, VLOOKUP("I",'Tetromino Chars'!$A$1:$B$7,2,FALSE), " ")</f>
        <v>H</v>
      </c>
      <c r="AH29" t="str" cm="1">
        <f t="array" aca="1" ref="AH29" ca="1">IF(FillColor(N29)&gt;0, VLOOKUP("I",'Tetromino Chars'!$A$1:$B$7,2,FALSE), " ")</f>
        <v>H</v>
      </c>
      <c r="AI29" t="str" cm="1">
        <f t="array" aca="1" ref="AI29" ca="1">IF(FillColor(O29)&gt;0, VLOOKUP("I",'Tetromino Chars'!$A$1:$B$7,2,FALSE), " ")</f>
        <v>H</v>
      </c>
      <c r="AK29" t="str" cm="1">
        <f t="array" aca="1" ref="AK29" ca="1">IF(FillColor(Q29)&gt;0, VLOOKUP("I",'Tetromino Chars'!$A$1:$B$7,2,FALSE), " ")</f>
        <v xml:space="preserve"> </v>
      </c>
      <c r="AL29" t="str" cm="1">
        <f t="array" aca="1" ref="AL29" ca="1">IF(FillColor(R29)&gt;0, VLOOKUP("I",'Tetromino Chars'!$A$1:$B$7,2,FALSE), " ")</f>
        <v>H</v>
      </c>
      <c r="AM29" t="str" cm="1">
        <f t="array" aca="1" ref="AM29" ca="1">IF(FillColor(S29)&gt;0, VLOOKUP("I",'Tetromino Chars'!$A$1:$B$7,2,FALSE), " ")</f>
        <v xml:space="preserve"> </v>
      </c>
      <c r="AN29" t="str" cm="1">
        <f t="array" aca="1" ref="AN29" ca="1">IF(FillColor(T29)&gt;0, VLOOKUP("I",'Tetromino Chars'!$A$1:$B$7,2,FALSE), " ")</f>
        <v xml:space="preserve"> </v>
      </c>
      <c r="AP29" t="s">
        <v>8</v>
      </c>
      <c r="AQ29" t="str">
        <f ca="1">"'"&amp;CONCATENATE(V29,W29,X29,Y29)&amp;"'"</f>
        <v>'    '</v>
      </c>
      <c r="AS29" t="s">
        <v>8</v>
      </c>
      <c r="AT29" t="str">
        <f t="shared" ca="1" si="15"/>
        <v>'  H '</v>
      </c>
      <c r="AV29" t="s">
        <v>8</v>
      </c>
      <c r="AW29" t="str">
        <f t="shared" ca="1" si="16"/>
        <v>'HHHH'</v>
      </c>
      <c r="AY29" t="s">
        <v>8</v>
      </c>
      <c r="AZ29" t="str">
        <f t="shared" ca="1" si="17"/>
        <v>' H  '</v>
      </c>
    </row>
    <row r="30" spans="1:52" ht="15" customHeight="1" thickBot="1" x14ac:dyDescent="0.5">
      <c r="B30" s="7"/>
      <c r="C30" s="8"/>
      <c r="D30" s="8"/>
      <c r="E30" s="9"/>
      <c r="F30" s="1" t="s">
        <v>16</v>
      </c>
      <c r="G30" s="7"/>
      <c r="H30" s="8"/>
      <c r="I30" s="15"/>
      <c r="J30" s="9"/>
      <c r="K30" s="1" t="s">
        <v>20</v>
      </c>
      <c r="L30" s="7"/>
      <c r="M30" s="8"/>
      <c r="N30" s="8"/>
      <c r="O30" s="9"/>
      <c r="P30" s="1" t="s">
        <v>15</v>
      </c>
      <c r="Q30" s="7"/>
      <c r="R30" s="15"/>
      <c r="S30" s="8"/>
      <c r="T30" s="9"/>
      <c r="U30" s="17" t="s">
        <v>19</v>
      </c>
      <c r="V30" t="str" cm="1">
        <f t="array" aca="1" ref="V30" ca="1">IF(FillColor(B30)&gt;0, VLOOKUP("I",'Tetromino Chars'!$A$1:$B$7,2,FALSE), " ")</f>
        <v xml:space="preserve"> </v>
      </c>
      <c r="W30" t="str" cm="1">
        <f t="array" aca="1" ref="W30" ca="1">IF(FillColor(C30)&gt;0, VLOOKUP("I",'Tetromino Chars'!$A$1:$B$7,2,FALSE), " ")</f>
        <v xml:space="preserve"> </v>
      </c>
      <c r="X30" t="str" cm="1">
        <f t="array" aca="1" ref="X30" ca="1">IF(FillColor(D30)&gt;0, VLOOKUP("I",'Tetromino Chars'!$A$1:$B$7,2,FALSE), " ")</f>
        <v xml:space="preserve"> </v>
      </c>
      <c r="Y30" t="str" cm="1">
        <f t="array" aca="1" ref="Y30" ca="1">IF(FillColor(E30)&gt;0, VLOOKUP("I",'Tetromino Chars'!$A$1:$B$7,2,FALSE), " ")</f>
        <v xml:space="preserve"> </v>
      </c>
      <c r="AA30" t="str" cm="1">
        <f t="array" aca="1" ref="AA30" ca="1">IF(FillColor(G30)&gt;0, VLOOKUP("I",'Tetromino Chars'!$A$1:$B$7,2,FALSE), " ")</f>
        <v xml:space="preserve"> </v>
      </c>
      <c r="AB30" t="str" cm="1">
        <f t="array" aca="1" ref="AB30" ca="1">IF(FillColor(H30)&gt;0, VLOOKUP("I",'Tetromino Chars'!$A$1:$B$7,2,FALSE), " ")</f>
        <v xml:space="preserve"> </v>
      </c>
      <c r="AC30" t="str" cm="1">
        <f t="array" aca="1" ref="AC30" ca="1">IF(FillColor(I30)&gt;0, VLOOKUP("I",'Tetromino Chars'!$A$1:$B$7,2,FALSE), " ")</f>
        <v>H</v>
      </c>
      <c r="AD30" t="str" cm="1">
        <f t="array" aca="1" ref="AD30" ca="1">IF(FillColor(J30)&gt;0, VLOOKUP("I",'Tetromino Chars'!$A$1:$B$7,2,FALSE), " ")</f>
        <v xml:space="preserve"> </v>
      </c>
      <c r="AF30" t="str" cm="1">
        <f t="array" aca="1" ref="AF30" ca="1">IF(FillColor(L30)&gt;0, VLOOKUP("I",'Tetromino Chars'!$A$1:$B$7,2,FALSE), " ")</f>
        <v xml:space="preserve"> </v>
      </c>
      <c r="AG30" t="str" cm="1">
        <f t="array" aca="1" ref="AG30" ca="1">IF(FillColor(M30)&gt;0, VLOOKUP("I",'Tetromino Chars'!$A$1:$B$7,2,FALSE), " ")</f>
        <v xml:space="preserve"> </v>
      </c>
      <c r="AH30" t="str" cm="1">
        <f t="array" aca="1" ref="AH30" ca="1">IF(FillColor(N30)&gt;0, VLOOKUP("I",'Tetromino Chars'!$A$1:$B$7,2,FALSE), " ")</f>
        <v xml:space="preserve"> </v>
      </c>
      <c r="AI30" t="str" cm="1">
        <f t="array" aca="1" ref="AI30" ca="1">IF(FillColor(O30)&gt;0, VLOOKUP("I",'Tetromino Chars'!$A$1:$B$7,2,FALSE), " ")</f>
        <v xml:space="preserve"> </v>
      </c>
      <c r="AK30" t="str" cm="1">
        <f t="array" aca="1" ref="AK30" ca="1">IF(FillColor(Q30)&gt;0, VLOOKUP("I",'Tetromino Chars'!$A$1:$B$7,2,FALSE), " ")</f>
        <v xml:space="preserve"> </v>
      </c>
      <c r="AL30" t="str" cm="1">
        <f t="array" aca="1" ref="AL30" ca="1">IF(FillColor(R30)&gt;0, VLOOKUP("I",'Tetromino Chars'!$A$1:$B$7,2,FALSE), " ")</f>
        <v>H</v>
      </c>
      <c r="AM30" t="str" cm="1">
        <f t="array" aca="1" ref="AM30" ca="1">IF(FillColor(S30)&gt;0, VLOOKUP("I",'Tetromino Chars'!$A$1:$B$7,2,FALSE), " ")</f>
        <v xml:space="preserve"> </v>
      </c>
      <c r="AN30" t="str" cm="1">
        <f t="array" aca="1" ref="AN30" ca="1">IF(FillColor(T30)&gt;0, VLOOKUP("I",'Tetromino Chars'!$A$1:$B$7,2,FALSE), " ")</f>
        <v xml:space="preserve"> </v>
      </c>
      <c r="AP30" t="s">
        <v>8</v>
      </c>
      <c r="AQ30" t="str">
        <f ca="1">"'"&amp;CONCATENATE(V30,W30,X30,Y30)&amp;"'"</f>
        <v>'    '</v>
      </c>
      <c r="AS30" t="s">
        <v>8</v>
      </c>
      <c r="AT30" t="str">
        <f t="shared" ca="1" si="15"/>
        <v>'  H '</v>
      </c>
      <c r="AV30" t="s">
        <v>8</v>
      </c>
      <c r="AW30" t="str">
        <f t="shared" ca="1" si="16"/>
        <v>'    '</v>
      </c>
      <c r="AY30" t="s">
        <v>8</v>
      </c>
      <c r="AZ30" t="str">
        <f t="shared" ca="1" si="17"/>
        <v>' H  '</v>
      </c>
    </row>
    <row r="31" spans="1:52" ht="15" customHeight="1" thickTop="1" thickBot="1" x14ac:dyDescent="0.5"/>
    <row r="32" spans="1:52" ht="15" customHeight="1" thickTop="1" x14ac:dyDescent="0.45">
      <c r="A32" t="s">
        <v>1</v>
      </c>
      <c r="B32" s="2"/>
      <c r="C32" s="14"/>
      <c r="D32" s="14"/>
      <c r="E32" s="4"/>
      <c r="G32" s="2"/>
      <c r="H32" s="14"/>
      <c r="I32" s="14"/>
      <c r="J32" s="4"/>
      <c r="L32" s="2"/>
      <c r="M32" s="14"/>
      <c r="N32" s="14"/>
      <c r="O32" s="4"/>
      <c r="Q32" s="2"/>
      <c r="R32" s="14"/>
      <c r="S32" s="14"/>
      <c r="T32" s="4"/>
      <c r="V32" t="str" cm="1">
        <f t="array" aca="1" ref="V32" ca="1">IF(FillColor(B32)&gt;0, VLOOKUP("O",'Tetromino Chars'!$A$1:$B$7,2,FALSE), " ")</f>
        <v xml:space="preserve"> </v>
      </c>
      <c r="W32" t="str" cm="1">
        <f t="array" aca="1" ref="W32" ca="1">IF(FillColor(C32)&gt;0, VLOOKUP("O",'Tetromino Chars'!$A$1:$B$7,2,FALSE), " ")</f>
        <v>O</v>
      </c>
      <c r="X32" t="str" cm="1">
        <f t="array" aca="1" ref="X32" ca="1">IF(FillColor(D32)&gt;0, VLOOKUP("O",'Tetromino Chars'!$A$1:$B$7,2,FALSE), " ")</f>
        <v>O</v>
      </c>
      <c r="Y32" t="str" cm="1">
        <f t="array" aca="1" ref="Y32" ca="1">IF(FillColor(E32)&gt;0, VLOOKUP("O",'Tetromino Chars'!$A$1:$B$7,2,FALSE), " ")</f>
        <v xml:space="preserve"> </v>
      </c>
      <c r="AA32" t="str" cm="1">
        <f t="array" aca="1" ref="AA32" ca="1">IF(FillColor(G32)&gt;0, VLOOKUP("O",'Tetromino Chars'!$A$1:$B$7,2,FALSE), " ")</f>
        <v xml:space="preserve"> </v>
      </c>
      <c r="AB32" t="str" cm="1">
        <f t="array" aca="1" ref="AB32" ca="1">IF(FillColor(H32)&gt;0, VLOOKUP("O",'Tetromino Chars'!$A$1:$B$7,2,FALSE), " ")</f>
        <v>O</v>
      </c>
      <c r="AC32" t="str" cm="1">
        <f t="array" aca="1" ref="AC32" ca="1">IF(FillColor(I32)&gt;0, VLOOKUP("O",'Tetromino Chars'!$A$1:$B$7,2,FALSE), " ")</f>
        <v>O</v>
      </c>
      <c r="AD32" t="str" cm="1">
        <f t="array" aca="1" ref="AD32" ca="1">IF(FillColor(J32)&gt;0, VLOOKUP("O",'Tetromino Chars'!$A$1:$B$7,2,FALSE), " ")</f>
        <v xml:space="preserve"> </v>
      </c>
      <c r="AF32" t="str" cm="1">
        <f t="array" aca="1" ref="AF32" ca="1">IF(FillColor(L32)&gt;0, VLOOKUP("O",'Tetromino Chars'!$A$1:$B$7,2,FALSE), " ")</f>
        <v xml:space="preserve"> </v>
      </c>
      <c r="AG32" t="str" cm="1">
        <f t="array" aca="1" ref="AG32" ca="1">IF(FillColor(M32)&gt;0, VLOOKUP("O",'Tetromino Chars'!$A$1:$B$7,2,FALSE), " ")</f>
        <v>O</v>
      </c>
      <c r="AH32" t="str" cm="1">
        <f t="array" aca="1" ref="AH32" ca="1">IF(FillColor(N32)&gt;0, VLOOKUP("O",'Tetromino Chars'!$A$1:$B$7,2,FALSE), " ")</f>
        <v>O</v>
      </c>
      <c r="AI32" t="str" cm="1">
        <f t="array" aca="1" ref="AI32" ca="1">IF(FillColor(O32)&gt;0, VLOOKUP("O",'Tetromino Chars'!$A$1:$B$7,2,FALSE), " ")</f>
        <v xml:space="preserve"> </v>
      </c>
      <c r="AK32" t="str" cm="1">
        <f t="array" aca="1" ref="AK32" ca="1">IF(FillColor(Q32)&gt;0, VLOOKUP("O",'Tetromino Chars'!$A$1:$B$7,2,FALSE), " ")</f>
        <v xml:space="preserve"> </v>
      </c>
      <c r="AL32" t="str" cm="1">
        <f t="array" aca="1" ref="AL32" ca="1">IF(FillColor(R32)&gt;0, VLOOKUP("O",'Tetromino Chars'!$A$1:$B$7,2,FALSE), " ")</f>
        <v>O</v>
      </c>
      <c r="AM32" t="str" cm="1">
        <f t="array" aca="1" ref="AM32" ca="1">IF(FillColor(S32)&gt;0, VLOOKUP("O",'Tetromino Chars'!$A$1:$B$7,2,FALSE), " ")</f>
        <v>O</v>
      </c>
      <c r="AN32" t="str" cm="1">
        <f t="array" aca="1" ref="AN32" ca="1">IF(FillColor(T32)&gt;0, VLOOKUP("O",'Tetromino Chars'!$A$1:$B$7,2,FALSE), " ")</f>
        <v xml:space="preserve"> </v>
      </c>
      <c r="AP32" t="s">
        <v>8</v>
      </c>
      <c r="AQ32" t="str">
        <f ca="1">"'"&amp;CONCATENATE(V32,W32,X32,Y32)&amp;"'"</f>
        <v>' OO '</v>
      </c>
      <c r="AS32" t="s">
        <v>8</v>
      </c>
      <c r="AT32" t="str">
        <f ca="1">"'"&amp;CONCATENATE(AA32,AB32,AC32,AD32)&amp;"'"</f>
        <v>' OO '</v>
      </c>
      <c r="AV32" t="s">
        <v>8</v>
      </c>
      <c r="AW32" t="str">
        <f ca="1">"'"&amp;CONCATENATE(AF32,AG32,AH32,AI32)&amp;"'"</f>
        <v>' OO '</v>
      </c>
      <c r="AY32" t="s">
        <v>8</v>
      </c>
      <c r="AZ32" t="str">
        <f ca="1">"'"&amp;CONCATENATE(AK32,AL32,AM32,AN32)&amp;"'"</f>
        <v>' OO '</v>
      </c>
    </row>
    <row r="33" spans="2:52" ht="15" customHeight="1" x14ac:dyDescent="0.45">
      <c r="B33" s="5"/>
      <c r="C33" s="12"/>
      <c r="D33" s="12"/>
      <c r="E33" s="6"/>
      <c r="F33" s="1" t="s">
        <v>13</v>
      </c>
      <c r="G33" s="5"/>
      <c r="H33" s="12"/>
      <c r="I33" s="12"/>
      <c r="J33" s="6"/>
      <c r="K33" s="1" t="s">
        <v>13</v>
      </c>
      <c r="L33" s="5"/>
      <c r="M33" s="12"/>
      <c r="N33" s="12"/>
      <c r="O33" s="6"/>
      <c r="P33" s="1" t="s">
        <v>13</v>
      </c>
      <c r="Q33" s="5"/>
      <c r="R33" s="12"/>
      <c r="S33" s="12"/>
      <c r="T33" s="6"/>
      <c r="U33" s="17" t="s">
        <v>13</v>
      </c>
      <c r="V33" t="str" cm="1">
        <f t="array" aca="1" ref="V33" ca="1">IF(FillColor(B33)&gt;0, VLOOKUP("O",'Tetromino Chars'!$A$1:$B$7,2,FALSE), " ")</f>
        <v xml:space="preserve"> </v>
      </c>
      <c r="W33" t="str" cm="1">
        <f t="array" aca="1" ref="W33" ca="1">IF(FillColor(C33)&gt;0, VLOOKUP("O",'Tetromino Chars'!$A$1:$B$7,2,FALSE), " ")</f>
        <v>O</v>
      </c>
      <c r="X33" t="str" cm="1">
        <f t="array" aca="1" ref="X33" ca="1">IF(FillColor(D33)&gt;0, VLOOKUP("O",'Tetromino Chars'!$A$1:$B$7,2,FALSE), " ")</f>
        <v>O</v>
      </c>
      <c r="Y33" t="str" cm="1">
        <f t="array" aca="1" ref="Y33" ca="1">IF(FillColor(E33)&gt;0, VLOOKUP("O",'Tetromino Chars'!$A$1:$B$7,2,FALSE), " ")</f>
        <v xml:space="preserve"> </v>
      </c>
      <c r="AA33" t="str" cm="1">
        <f t="array" aca="1" ref="AA33" ca="1">IF(FillColor(G33)&gt;0, VLOOKUP("O",'Tetromino Chars'!$A$1:$B$7,2,FALSE), " ")</f>
        <v xml:space="preserve"> </v>
      </c>
      <c r="AB33" t="str" cm="1">
        <f t="array" aca="1" ref="AB33" ca="1">IF(FillColor(H33)&gt;0, VLOOKUP("O",'Tetromino Chars'!$A$1:$B$7,2,FALSE), " ")</f>
        <v>O</v>
      </c>
      <c r="AC33" t="str" cm="1">
        <f t="array" aca="1" ref="AC33" ca="1">IF(FillColor(I33)&gt;0, VLOOKUP("O",'Tetromino Chars'!$A$1:$B$7,2,FALSE), " ")</f>
        <v>O</v>
      </c>
      <c r="AD33" t="str" cm="1">
        <f t="array" aca="1" ref="AD33" ca="1">IF(FillColor(J33)&gt;0, VLOOKUP("O",'Tetromino Chars'!$A$1:$B$7,2,FALSE), " ")</f>
        <v xml:space="preserve"> </v>
      </c>
      <c r="AF33" t="str" cm="1">
        <f t="array" aca="1" ref="AF33" ca="1">IF(FillColor(L33)&gt;0, VLOOKUP("O",'Tetromino Chars'!$A$1:$B$7,2,FALSE), " ")</f>
        <v xml:space="preserve"> </v>
      </c>
      <c r="AG33" t="str" cm="1">
        <f t="array" aca="1" ref="AG33" ca="1">IF(FillColor(M33)&gt;0, VLOOKUP("O",'Tetromino Chars'!$A$1:$B$7,2,FALSE), " ")</f>
        <v>O</v>
      </c>
      <c r="AH33" t="str" cm="1">
        <f t="array" aca="1" ref="AH33" ca="1">IF(FillColor(N33)&gt;0, VLOOKUP("O",'Tetromino Chars'!$A$1:$B$7,2,FALSE), " ")</f>
        <v>O</v>
      </c>
      <c r="AI33" t="str" cm="1">
        <f t="array" aca="1" ref="AI33" ca="1">IF(FillColor(O33)&gt;0, VLOOKUP("O",'Tetromino Chars'!$A$1:$B$7,2,FALSE), " ")</f>
        <v xml:space="preserve"> </v>
      </c>
      <c r="AK33" t="str" cm="1">
        <f t="array" aca="1" ref="AK33" ca="1">IF(FillColor(Q33)&gt;0, VLOOKUP("O",'Tetromino Chars'!$A$1:$B$7,2,FALSE), " ")</f>
        <v xml:space="preserve"> </v>
      </c>
      <c r="AL33" t="str" cm="1">
        <f t="array" aca="1" ref="AL33" ca="1">IF(FillColor(R33)&gt;0, VLOOKUP("O",'Tetromino Chars'!$A$1:$B$7,2,FALSE), " ")</f>
        <v>O</v>
      </c>
      <c r="AM33" t="str" cm="1">
        <f t="array" aca="1" ref="AM33" ca="1">IF(FillColor(S33)&gt;0, VLOOKUP("O",'Tetromino Chars'!$A$1:$B$7,2,FALSE), " ")</f>
        <v>O</v>
      </c>
      <c r="AN33" t="str" cm="1">
        <f t="array" aca="1" ref="AN33" ca="1">IF(FillColor(T33)&gt;0, VLOOKUP("O",'Tetromino Chars'!$A$1:$B$7,2,FALSE), " ")</f>
        <v xml:space="preserve"> </v>
      </c>
      <c r="AP33" t="s">
        <v>8</v>
      </c>
      <c r="AQ33" t="str">
        <f ca="1">"'"&amp;CONCATENATE(V33,W33,X33,Y33)&amp;"'"</f>
        <v>' OO '</v>
      </c>
      <c r="AS33" t="s">
        <v>8</v>
      </c>
      <c r="AT33" t="str">
        <f t="shared" ref="AT33:AT35" ca="1" si="18">"'"&amp;CONCATENATE(AA33,AB33,AC33,AD33)&amp;"'"</f>
        <v>' OO '</v>
      </c>
      <c r="AV33" t="s">
        <v>8</v>
      </c>
      <c r="AW33" t="str">
        <f t="shared" ref="AW33:AW35" ca="1" si="19">"'"&amp;CONCATENATE(AF33,AG33,AH33,AI33)&amp;"'"</f>
        <v>' OO '</v>
      </c>
      <c r="AY33" t="s">
        <v>8</v>
      </c>
      <c r="AZ33" t="str">
        <f t="shared" ref="AZ33:AZ35" ca="1" si="20">"'"&amp;CONCATENATE(AK33,AL33,AM33,AN33)&amp;"'"</f>
        <v>' OO '</v>
      </c>
    </row>
    <row r="34" spans="2:52" ht="15" customHeight="1" x14ac:dyDescent="0.45">
      <c r="B34" s="5"/>
      <c r="C34" s="10"/>
      <c r="D34" s="10"/>
      <c r="E34" s="6"/>
      <c r="G34" s="5"/>
      <c r="H34" s="10"/>
      <c r="I34" s="10"/>
      <c r="J34" s="6"/>
      <c r="L34" s="5"/>
      <c r="M34" s="10"/>
      <c r="N34" s="10"/>
      <c r="O34" s="6"/>
      <c r="Q34" s="5"/>
      <c r="R34" s="10"/>
      <c r="S34" s="10"/>
      <c r="T34" s="6"/>
      <c r="V34" t="str" cm="1">
        <f t="array" aca="1" ref="V34" ca="1">IF(FillColor(B34)&gt;0, VLOOKUP("O",'Tetromino Chars'!$A$1:$B$7,2,FALSE), " ")</f>
        <v xml:space="preserve"> </v>
      </c>
      <c r="W34" t="str" cm="1">
        <f t="array" aca="1" ref="W34" ca="1">IF(FillColor(C34)&gt;0, VLOOKUP("O",'Tetromino Chars'!$A$1:$B$7,2,FALSE), " ")</f>
        <v xml:space="preserve"> </v>
      </c>
      <c r="X34" t="str" cm="1">
        <f t="array" aca="1" ref="X34" ca="1">IF(FillColor(D34)&gt;0, VLOOKUP("O",'Tetromino Chars'!$A$1:$B$7,2,FALSE), " ")</f>
        <v xml:space="preserve"> </v>
      </c>
      <c r="Y34" t="str" cm="1">
        <f t="array" aca="1" ref="Y34" ca="1">IF(FillColor(E34)&gt;0, VLOOKUP("O",'Tetromino Chars'!$A$1:$B$7,2,FALSE), " ")</f>
        <v xml:space="preserve"> </v>
      </c>
      <c r="AA34" t="str" cm="1">
        <f t="array" aca="1" ref="AA34" ca="1">IF(FillColor(G34)&gt;0, VLOOKUP("O",'Tetromino Chars'!$A$1:$B$7,2,FALSE), " ")</f>
        <v xml:space="preserve"> </v>
      </c>
      <c r="AB34" t="str" cm="1">
        <f t="array" aca="1" ref="AB34" ca="1">IF(FillColor(H34)&gt;0, VLOOKUP("O",'Tetromino Chars'!$A$1:$B$7,2,FALSE), " ")</f>
        <v xml:space="preserve"> </v>
      </c>
      <c r="AC34" t="str" cm="1">
        <f t="array" aca="1" ref="AC34" ca="1">IF(FillColor(I34)&gt;0, VLOOKUP("O",'Tetromino Chars'!$A$1:$B$7,2,FALSE), " ")</f>
        <v xml:space="preserve"> </v>
      </c>
      <c r="AD34" t="str" cm="1">
        <f t="array" aca="1" ref="AD34" ca="1">IF(FillColor(J34)&gt;0, VLOOKUP("O",'Tetromino Chars'!$A$1:$B$7,2,FALSE), " ")</f>
        <v xml:space="preserve"> </v>
      </c>
      <c r="AF34" t="str" cm="1">
        <f t="array" aca="1" ref="AF34" ca="1">IF(FillColor(L34)&gt;0, VLOOKUP("O",'Tetromino Chars'!$A$1:$B$7,2,FALSE), " ")</f>
        <v xml:space="preserve"> </v>
      </c>
      <c r="AG34" t="str" cm="1">
        <f t="array" aca="1" ref="AG34" ca="1">IF(FillColor(M34)&gt;0, VLOOKUP("O",'Tetromino Chars'!$A$1:$B$7,2,FALSE), " ")</f>
        <v xml:space="preserve"> </v>
      </c>
      <c r="AH34" t="str" cm="1">
        <f t="array" aca="1" ref="AH34" ca="1">IF(FillColor(N34)&gt;0, VLOOKUP("O",'Tetromino Chars'!$A$1:$B$7,2,FALSE), " ")</f>
        <v xml:space="preserve"> </v>
      </c>
      <c r="AI34" t="str" cm="1">
        <f t="array" aca="1" ref="AI34" ca="1">IF(FillColor(O34)&gt;0, VLOOKUP("O",'Tetromino Chars'!$A$1:$B$7,2,FALSE), " ")</f>
        <v xml:space="preserve"> </v>
      </c>
      <c r="AK34" t="str" cm="1">
        <f t="array" aca="1" ref="AK34" ca="1">IF(FillColor(Q34)&gt;0, VLOOKUP("O",'Tetromino Chars'!$A$1:$B$7,2,FALSE), " ")</f>
        <v xml:space="preserve"> </v>
      </c>
      <c r="AL34" t="str" cm="1">
        <f t="array" aca="1" ref="AL34" ca="1">IF(FillColor(R34)&gt;0, VLOOKUP("O",'Tetromino Chars'!$A$1:$B$7,2,FALSE), " ")</f>
        <v xml:space="preserve"> </v>
      </c>
      <c r="AM34" t="str" cm="1">
        <f t="array" aca="1" ref="AM34" ca="1">IF(FillColor(S34)&gt;0, VLOOKUP("O",'Tetromino Chars'!$A$1:$B$7,2,FALSE), " ")</f>
        <v xml:space="preserve"> </v>
      </c>
      <c r="AN34" t="str" cm="1">
        <f t="array" aca="1" ref="AN34" ca="1">IF(FillColor(T34)&gt;0, VLOOKUP("O",'Tetromino Chars'!$A$1:$B$7,2,FALSE), " ")</f>
        <v xml:space="preserve"> </v>
      </c>
      <c r="AP34" t="s">
        <v>8</v>
      </c>
      <c r="AQ34" t="str">
        <f ca="1">"'"&amp;CONCATENATE(V34,W34,X34,Y34)&amp;"'"</f>
        <v>'    '</v>
      </c>
      <c r="AS34" t="s">
        <v>8</v>
      </c>
      <c r="AT34" t="str">
        <f t="shared" ca="1" si="18"/>
        <v>'    '</v>
      </c>
      <c r="AV34" t="s">
        <v>8</v>
      </c>
      <c r="AW34" t="str">
        <f t="shared" ca="1" si="19"/>
        <v>'    '</v>
      </c>
      <c r="AY34" t="s">
        <v>8</v>
      </c>
      <c r="AZ34" t="str">
        <f t="shared" ca="1" si="20"/>
        <v>'    '</v>
      </c>
    </row>
    <row r="35" spans="2:52" ht="15" customHeight="1" thickBot="1" x14ac:dyDescent="0.5">
      <c r="B35" s="7"/>
      <c r="C35" s="8"/>
      <c r="D35" s="8"/>
      <c r="E35" s="9"/>
      <c r="G35" s="7"/>
      <c r="H35" s="8"/>
      <c r="I35" s="8"/>
      <c r="J35" s="9"/>
      <c r="L35" s="7"/>
      <c r="M35" s="8"/>
      <c r="N35" s="8"/>
      <c r="O35" s="9"/>
      <c r="Q35" s="7"/>
      <c r="R35" s="8"/>
      <c r="S35" s="8"/>
      <c r="T35" s="9"/>
      <c r="V35" t="str" cm="1">
        <f t="array" aca="1" ref="V35" ca="1">IF(FillColor(B35)&gt;0, VLOOKUP("O",'Tetromino Chars'!$A$1:$B$7,2,FALSE), " ")</f>
        <v xml:space="preserve"> </v>
      </c>
      <c r="W35" t="str" cm="1">
        <f t="array" aca="1" ref="W35" ca="1">IF(FillColor(C35)&gt;0, VLOOKUP("O",'Tetromino Chars'!$A$1:$B$7,2,FALSE), " ")</f>
        <v xml:space="preserve"> </v>
      </c>
      <c r="X35" t="str" cm="1">
        <f t="array" aca="1" ref="X35" ca="1">IF(FillColor(D35)&gt;0, VLOOKUP("O",'Tetromino Chars'!$A$1:$B$7,2,FALSE), " ")</f>
        <v xml:space="preserve"> </v>
      </c>
      <c r="Y35" t="str" cm="1">
        <f t="array" aca="1" ref="Y35" ca="1">IF(FillColor(E35)&gt;0, VLOOKUP("O",'Tetromino Chars'!$A$1:$B$7,2,FALSE), " ")</f>
        <v xml:space="preserve"> </v>
      </c>
      <c r="AA35" t="str" cm="1">
        <f t="array" aca="1" ref="AA35" ca="1">IF(FillColor(G35)&gt;0, VLOOKUP("O",'Tetromino Chars'!$A$1:$B$7,2,FALSE), " ")</f>
        <v xml:space="preserve"> </v>
      </c>
      <c r="AB35" t="str" cm="1">
        <f t="array" aca="1" ref="AB35" ca="1">IF(FillColor(H35)&gt;0, VLOOKUP("O",'Tetromino Chars'!$A$1:$B$7,2,FALSE), " ")</f>
        <v xml:space="preserve"> </v>
      </c>
      <c r="AC35" t="str" cm="1">
        <f t="array" aca="1" ref="AC35" ca="1">IF(FillColor(I35)&gt;0, VLOOKUP("O",'Tetromino Chars'!$A$1:$B$7,2,FALSE), " ")</f>
        <v xml:space="preserve"> </v>
      </c>
      <c r="AD35" t="str" cm="1">
        <f t="array" aca="1" ref="AD35" ca="1">IF(FillColor(J35)&gt;0, VLOOKUP("O",'Tetromino Chars'!$A$1:$B$7,2,FALSE), " ")</f>
        <v xml:space="preserve"> </v>
      </c>
      <c r="AF35" t="str" cm="1">
        <f t="array" aca="1" ref="AF35" ca="1">IF(FillColor(L35)&gt;0, VLOOKUP("O",'Tetromino Chars'!$A$1:$B$7,2,FALSE), " ")</f>
        <v xml:space="preserve"> </v>
      </c>
      <c r="AG35" t="str" cm="1">
        <f t="array" aca="1" ref="AG35" ca="1">IF(FillColor(M35)&gt;0, VLOOKUP("O",'Tetromino Chars'!$A$1:$B$7,2,FALSE), " ")</f>
        <v xml:space="preserve"> </v>
      </c>
      <c r="AH35" t="str" cm="1">
        <f t="array" aca="1" ref="AH35" ca="1">IF(FillColor(N35)&gt;0, VLOOKUP("O",'Tetromino Chars'!$A$1:$B$7,2,FALSE), " ")</f>
        <v xml:space="preserve"> </v>
      </c>
      <c r="AI35" t="str" cm="1">
        <f t="array" aca="1" ref="AI35" ca="1">IF(FillColor(O35)&gt;0, VLOOKUP("O",'Tetromino Chars'!$A$1:$B$7,2,FALSE), " ")</f>
        <v xml:space="preserve"> </v>
      </c>
      <c r="AK35" t="str" cm="1">
        <f t="array" aca="1" ref="AK35" ca="1">IF(FillColor(Q35)&gt;0, VLOOKUP("O",'Tetromino Chars'!$A$1:$B$7,2,FALSE), " ")</f>
        <v xml:space="preserve"> </v>
      </c>
      <c r="AL35" t="str" cm="1">
        <f t="array" aca="1" ref="AL35" ca="1">IF(FillColor(R35)&gt;0, VLOOKUP("O",'Tetromino Chars'!$A$1:$B$7,2,FALSE), " ")</f>
        <v xml:space="preserve"> </v>
      </c>
      <c r="AM35" t="str" cm="1">
        <f t="array" aca="1" ref="AM35" ca="1">IF(FillColor(S35)&gt;0, VLOOKUP("O",'Tetromino Chars'!$A$1:$B$7,2,FALSE), " ")</f>
        <v xml:space="preserve"> </v>
      </c>
      <c r="AN35" t="str" cm="1">
        <f t="array" aca="1" ref="AN35" ca="1">IF(FillColor(T35)&gt;0, VLOOKUP("O",'Tetromino Chars'!$A$1:$B$7,2,FALSE), " ")</f>
        <v xml:space="preserve"> </v>
      </c>
      <c r="AP35" t="s">
        <v>8</v>
      </c>
      <c r="AQ35" t="str">
        <f ca="1">"'"&amp;CONCATENATE(V35,W35,X35,Y35)&amp;"'"</f>
        <v>'    '</v>
      </c>
      <c r="AS35" t="s">
        <v>8</v>
      </c>
      <c r="AT35" t="str">
        <f t="shared" ca="1" si="18"/>
        <v>'    '</v>
      </c>
      <c r="AV35" t="s">
        <v>8</v>
      </c>
      <c r="AW35" t="str">
        <f t="shared" ca="1" si="19"/>
        <v>'    '</v>
      </c>
      <c r="AY35" t="s">
        <v>8</v>
      </c>
      <c r="AZ35" t="str">
        <f t="shared" ca="1" si="20"/>
        <v>'    '</v>
      </c>
    </row>
    <row r="36" spans="2:52" ht="15" customHeight="1" thickTop="1" thickBot="1" x14ac:dyDescent="0.5"/>
    <row r="37" spans="2:52" ht="15" customHeight="1" thickTop="1" x14ac:dyDescent="0.45">
      <c r="B37" s="2"/>
      <c r="C37" s="3"/>
      <c r="D37" s="3"/>
      <c r="E37" s="4"/>
      <c r="G37" s="2"/>
      <c r="H37" s="3"/>
      <c r="I37" s="3"/>
      <c r="J37" s="4"/>
      <c r="L37" s="2"/>
      <c r="M37" s="3"/>
      <c r="N37" s="3"/>
      <c r="O37" s="4"/>
      <c r="Q37" s="2"/>
      <c r="R37" s="3"/>
      <c r="S37" s="3"/>
      <c r="T37" s="4"/>
    </row>
    <row r="38" spans="2:52" ht="15" customHeight="1" x14ac:dyDescent="0.45">
      <c r="B38" s="5"/>
      <c r="C38" s="10"/>
      <c r="D38" s="10"/>
      <c r="E38" s="6"/>
      <c r="G38" s="5"/>
      <c r="H38" s="10"/>
      <c r="I38" s="10"/>
      <c r="J38" s="6"/>
      <c r="L38" s="5"/>
      <c r="M38" s="10"/>
      <c r="N38" s="10"/>
      <c r="O38" s="6"/>
      <c r="Q38" s="5"/>
      <c r="R38" s="10"/>
      <c r="S38" s="10"/>
      <c r="T38" s="6"/>
    </row>
    <row r="39" spans="2:52" ht="15" customHeight="1" x14ac:dyDescent="0.45">
      <c r="B39" s="5"/>
      <c r="C39" s="10"/>
      <c r="D39" s="10"/>
      <c r="E39" s="6"/>
      <c r="G39" s="5"/>
      <c r="H39" s="10"/>
      <c r="I39" s="10"/>
      <c r="J39" s="6"/>
      <c r="L39" s="5"/>
      <c r="M39" s="10"/>
      <c r="N39" s="10"/>
      <c r="O39" s="6"/>
      <c r="Q39" s="5"/>
      <c r="R39" s="10"/>
      <c r="S39" s="10"/>
      <c r="T39" s="6"/>
    </row>
    <row r="40" spans="2:52" ht="15" customHeight="1" thickBot="1" x14ac:dyDescent="0.5">
      <c r="B40" s="7"/>
      <c r="C40" s="8"/>
      <c r="D40" s="8"/>
      <c r="E40" s="9"/>
      <c r="G40" s="7"/>
      <c r="H40" s="8"/>
      <c r="I40" s="8"/>
      <c r="J40" s="9"/>
      <c r="L40" s="7"/>
      <c r="M40" s="8"/>
      <c r="N40" s="8"/>
      <c r="O40" s="9"/>
      <c r="Q40" s="7"/>
      <c r="R40" s="8"/>
      <c r="S40" s="8"/>
      <c r="T40" s="9"/>
    </row>
    <row r="41" spans="2:52" ht="15" customHeight="1" thickTop="1" x14ac:dyDescent="0.4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32BFC-2B57-4588-A52C-F1A1E3F6BA04}">
  <dimension ref="A1:C148"/>
  <sheetViews>
    <sheetView topLeftCell="A121" workbookViewId="0">
      <selection activeCell="C3" sqref="C3"/>
    </sheetView>
  </sheetViews>
  <sheetFormatPr defaultRowHeight="14.25" x14ac:dyDescent="0.45"/>
  <sheetData>
    <row r="1" spans="1:3" x14ac:dyDescent="0.45">
      <c r="A1" t="s">
        <v>46</v>
      </c>
    </row>
    <row r="2" spans="1:3" x14ac:dyDescent="0.45">
      <c r="A2" t="s">
        <v>43</v>
      </c>
    </row>
    <row r="3" spans="1:3" x14ac:dyDescent="0.45">
      <c r="B3" t="str">
        <f>Tetrominos!AP2</f>
        <v>db</v>
      </c>
      <c r="C3" t="str">
        <f ca="1">Tetrominos!AQ2</f>
        <v>'##  '</v>
      </c>
    </row>
    <row r="4" spans="1:3" x14ac:dyDescent="0.45">
      <c r="B4" t="str">
        <f>Tetrominos!AP3</f>
        <v>db</v>
      </c>
      <c r="C4" t="str">
        <f ca="1">Tetrominos!AQ3</f>
        <v>' ## '</v>
      </c>
    </row>
    <row r="5" spans="1:3" x14ac:dyDescent="0.45">
      <c r="B5" t="str">
        <f>Tetrominos!AP4</f>
        <v>db</v>
      </c>
      <c r="C5" t="str">
        <f ca="1">Tetrominos!AQ4</f>
        <v>'    '</v>
      </c>
    </row>
    <row r="6" spans="1:3" x14ac:dyDescent="0.45">
      <c r="B6" t="str">
        <f>Tetrominos!AP5</f>
        <v>db</v>
      </c>
      <c r="C6" t="str">
        <f ca="1">Tetrominos!AQ5</f>
        <v>'    '</v>
      </c>
    </row>
    <row r="8" spans="1:3" x14ac:dyDescent="0.45">
      <c r="A8" t="s">
        <v>44</v>
      </c>
    </row>
    <row r="9" spans="1:3" x14ac:dyDescent="0.45">
      <c r="B9" t="str">
        <f>Tetrominos!AS2</f>
        <v>db</v>
      </c>
      <c r="C9" t="str">
        <f ca="1">Tetrominos!AT2</f>
        <v>'  # '</v>
      </c>
    </row>
    <row r="10" spans="1:3" x14ac:dyDescent="0.45">
      <c r="B10" t="str">
        <f>Tetrominos!AS3</f>
        <v>db</v>
      </c>
      <c r="C10" t="str">
        <f ca="1">Tetrominos!AT3</f>
        <v>' ## '</v>
      </c>
    </row>
    <row r="11" spans="1:3" x14ac:dyDescent="0.45">
      <c r="B11" t="str">
        <f>Tetrominos!AS4</f>
        <v>db</v>
      </c>
      <c r="C11" t="str">
        <f ca="1">Tetrominos!AT4</f>
        <v>' #  '</v>
      </c>
    </row>
    <row r="12" spans="1:3" x14ac:dyDescent="0.45">
      <c r="B12" t="str">
        <f>Tetrominos!AS5</f>
        <v>db</v>
      </c>
      <c r="C12" t="str">
        <f ca="1">Tetrominos!AT5</f>
        <v>'    '</v>
      </c>
    </row>
    <row r="14" spans="1:3" x14ac:dyDescent="0.45">
      <c r="A14" t="s">
        <v>45</v>
      </c>
    </row>
    <row r="15" spans="1:3" x14ac:dyDescent="0.45">
      <c r="B15" t="str">
        <f>Tetrominos!AV2</f>
        <v>db</v>
      </c>
      <c r="C15" t="str">
        <f ca="1">Tetrominos!AW2</f>
        <v>'    '</v>
      </c>
    </row>
    <row r="16" spans="1:3" x14ac:dyDescent="0.45">
      <c r="B16" t="str">
        <f>Tetrominos!AV3</f>
        <v>db</v>
      </c>
      <c r="C16" t="str">
        <f ca="1">Tetrominos!AW3</f>
        <v>'##  '</v>
      </c>
    </row>
    <row r="17" spans="1:3" x14ac:dyDescent="0.45">
      <c r="B17" t="str">
        <f>Tetrominos!AV4</f>
        <v>db</v>
      </c>
      <c r="C17" t="str">
        <f ca="1">Tetrominos!AW4</f>
        <v>' ## '</v>
      </c>
    </row>
    <row r="18" spans="1:3" x14ac:dyDescent="0.45">
      <c r="B18" t="str">
        <f>Tetrominos!AV5</f>
        <v>db</v>
      </c>
      <c r="C18" t="str">
        <f ca="1">Tetrominos!AW5</f>
        <v>'    '</v>
      </c>
    </row>
    <row r="19" spans="1:3" x14ac:dyDescent="0.45">
      <c r="A19" t="s">
        <v>47</v>
      </c>
    </row>
    <row r="20" spans="1:3" x14ac:dyDescent="0.45">
      <c r="B20" t="str">
        <f>Tetrominos!AY2</f>
        <v>db</v>
      </c>
      <c r="C20" t="str">
        <f ca="1">Tetrominos!AZ2</f>
        <v>' #  '</v>
      </c>
    </row>
    <row r="21" spans="1:3" x14ac:dyDescent="0.45">
      <c r="B21" t="str">
        <f>Tetrominos!AY3</f>
        <v>db</v>
      </c>
      <c r="C21" t="str">
        <f ca="1">Tetrominos!AZ3</f>
        <v>'##  '</v>
      </c>
    </row>
    <row r="22" spans="1:3" x14ac:dyDescent="0.45">
      <c r="B22" t="str">
        <f>Tetrominos!AY4</f>
        <v>db</v>
      </c>
      <c r="C22" t="str">
        <f ca="1">Tetrominos!AZ4</f>
        <v>'#   '</v>
      </c>
    </row>
    <row r="23" spans="1:3" x14ac:dyDescent="0.45">
      <c r="B23" t="str">
        <f>Tetrominos!AY5</f>
        <v>db</v>
      </c>
      <c r="C23" t="str">
        <f ca="1">Tetrominos!AZ5</f>
        <v>'    '</v>
      </c>
    </row>
    <row r="24" spans="1:3" x14ac:dyDescent="0.45">
      <c r="A24" t="s">
        <v>48</v>
      </c>
    </row>
    <row r="25" spans="1:3" x14ac:dyDescent="0.45">
      <c r="A25" t="s">
        <v>49</v>
      </c>
      <c r="B25" t="str">
        <f>Tetrominos!AP7</f>
        <v>db</v>
      </c>
      <c r="C25" t="str">
        <f ca="1">Tetrominos!AQ7</f>
        <v>' ** '</v>
      </c>
    </row>
    <row r="26" spans="1:3" x14ac:dyDescent="0.45">
      <c r="B26" t="str">
        <f>Tetrominos!AP8</f>
        <v>db</v>
      </c>
      <c r="C26" t="str">
        <f ca="1">Tetrominos!AQ8</f>
        <v>'**  '</v>
      </c>
    </row>
    <row r="27" spans="1:3" x14ac:dyDescent="0.45">
      <c r="B27" t="str">
        <f>Tetrominos!AP9</f>
        <v>db</v>
      </c>
      <c r="C27" t="str">
        <f ca="1">Tetrominos!AQ9</f>
        <v>'    '</v>
      </c>
    </row>
    <row r="28" spans="1:3" x14ac:dyDescent="0.45">
      <c r="B28" t="str">
        <f>Tetrominos!AP10</f>
        <v>db</v>
      </c>
      <c r="C28" t="str">
        <f ca="1">Tetrominos!AQ10</f>
        <v>'    '</v>
      </c>
    </row>
    <row r="29" spans="1:3" x14ac:dyDescent="0.45">
      <c r="A29" t="s">
        <v>50</v>
      </c>
    </row>
    <row r="30" spans="1:3" x14ac:dyDescent="0.45">
      <c r="B30" t="str">
        <f>Tetrominos!AS7</f>
        <v>db</v>
      </c>
      <c r="C30" t="str">
        <f ca="1">Tetrominos!AT7</f>
        <v>' *  '</v>
      </c>
    </row>
    <row r="31" spans="1:3" x14ac:dyDescent="0.45">
      <c r="B31" t="str">
        <f>Tetrominos!AS8</f>
        <v>db</v>
      </c>
      <c r="C31" t="str">
        <f ca="1">Tetrominos!AT8</f>
        <v>' ** '</v>
      </c>
    </row>
    <row r="32" spans="1:3" x14ac:dyDescent="0.45">
      <c r="B32" t="str">
        <f>Tetrominos!AS9</f>
        <v>db</v>
      </c>
      <c r="C32" t="str">
        <f ca="1">Tetrominos!AT9</f>
        <v>'  * '</v>
      </c>
    </row>
    <row r="33" spans="1:3" x14ac:dyDescent="0.45">
      <c r="B33" t="str">
        <f>Tetrominos!AS10</f>
        <v>db</v>
      </c>
      <c r="C33" t="str">
        <f ca="1">Tetrominos!AT10</f>
        <v>'    '</v>
      </c>
    </row>
    <row r="34" spans="1:3" x14ac:dyDescent="0.45">
      <c r="A34" t="s">
        <v>51</v>
      </c>
    </row>
    <row r="35" spans="1:3" x14ac:dyDescent="0.45">
      <c r="B35" t="str">
        <f>Tetrominos!AV7</f>
        <v>db</v>
      </c>
      <c r="C35" t="str">
        <f ca="1">Tetrominos!AW7</f>
        <v>'    '</v>
      </c>
    </row>
    <row r="36" spans="1:3" x14ac:dyDescent="0.45">
      <c r="B36" t="str">
        <f>Tetrominos!AV8</f>
        <v>db</v>
      </c>
      <c r="C36" t="str">
        <f ca="1">Tetrominos!AW8</f>
        <v>' ** '</v>
      </c>
    </row>
    <row r="37" spans="1:3" x14ac:dyDescent="0.45">
      <c r="B37" t="str">
        <f>Tetrominos!AV9</f>
        <v>db</v>
      </c>
      <c r="C37" t="str">
        <f ca="1">Tetrominos!AW9</f>
        <v>'**  '</v>
      </c>
    </row>
    <row r="38" spans="1:3" x14ac:dyDescent="0.45">
      <c r="B38" t="str">
        <f>Tetrominos!AV10</f>
        <v>db</v>
      </c>
      <c r="C38" t="str">
        <f ca="1">Tetrominos!AW10</f>
        <v>'    '</v>
      </c>
    </row>
    <row r="39" spans="1:3" x14ac:dyDescent="0.45">
      <c r="A39" t="s">
        <v>52</v>
      </c>
    </row>
    <row r="40" spans="1:3" x14ac:dyDescent="0.45">
      <c r="B40" t="str">
        <f>Tetrominos!AY7</f>
        <v>db</v>
      </c>
      <c r="C40" t="str">
        <f ca="1">Tetrominos!AZ7</f>
        <v>'*   '</v>
      </c>
    </row>
    <row r="41" spans="1:3" x14ac:dyDescent="0.45">
      <c r="B41" t="str">
        <f>Tetrominos!AY8</f>
        <v>db</v>
      </c>
      <c r="C41" t="str">
        <f ca="1">Tetrominos!AZ8</f>
        <v>'**  '</v>
      </c>
    </row>
    <row r="42" spans="1:3" x14ac:dyDescent="0.45">
      <c r="B42" t="str">
        <f>Tetrominos!AY9</f>
        <v>db</v>
      </c>
      <c r="C42" t="str">
        <f ca="1">Tetrominos!AZ9</f>
        <v>' *  '</v>
      </c>
    </row>
    <row r="43" spans="1:3" x14ac:dyDescent="0.45">
      <c r="B43" t="str">
        <f>Tetrominos!AY10</f>
        <v>db</v>
      </c>
      <c r="C43" t="str">
        <f ca="1">Tetrominos!AZ10</f>
        <v>'    '</v>
      </c>
    </row>
    <row r="44" spans="1:3" x14ac:dyDescent="0.45">
      <c r="A44" t="s">
        <v>53</v>
      </c>
    </row>
    <row r="45" spans="1:3" x14ac:dyDescent="0.45">
      <c r="A45" t="s">
        <v>54</v>
      </c>
    </row>
    <row r="46" spans="1:3" x14ac:dyDescent="0.45">
      <c r="B46" t="str">
        <f>Tetrominos!AP12</f>
        <v>db</v>
      </c>
      <c r="C46" t="str">
        <f ca="1">Tetrominos!AQ12</f>
        <v>'  @ '</v>
      </c>
    </row>
    <row r="47" spans="1:3" x14ac:dyDescent="0.45">
      <c r="B47" t="str">
        <f>Tetrominos!AP13</f>
        <v>db</v>
      </c>
      <c r="C47" t="str">
        <f ca="1">Tetrominos!AQ13</f>
        <v>'@@@ '</v>
      </c>
    </row>
    <row r="48" spans="1:3" x14ac:dyDescent="0.45">
      <c r="B48" t="str">
        <f>Tetrominos!AP14</f>
        <v>db</v>
      </c>
      <c r="C48" t="str">
        <f ca="1">Tetrominos!AQ14</f>
        <v>'    '</v>
      </c>
    </row>
    <row r="49" spans="1:3" x14ac:dyDescent="0.45">
      <c r="B49" t="str">
        <f>Tetrominos!AP15</f>
        <v>db</v>
      </c>
      <c r="C49" t="str">
        <f ca="1">Tetrominos!AQ15</f>
        <v>'    '</v>
      </c>
    </row>
    <row r="50" spans="1:3" x14ac:dyDescent="0.45">
      <c r="A50" t="s">
        <v>55</v>
      </c>
    </row>
    <row r="51" spans="1:3" x14ac:dyDescent="0.45">
      <c r="B51" t="str">
        <f>Tetrominos!AS12</f>
        <v>db</v>
      </c>
      <c r="C51" t="str">
        <f ca="1">Tetrominos!AT12</f>
        <v>' @  '</v>
      </c>
    </row>
    <row r="52" spans="1:3" x14ac:dyDescent="0.45">
      <c r="B52" t="str">
        <f>Tetrominos!AS13</f>
        <v>db</v>
      </c>
      <c r="C52" t="str">
        <f ca="1">Tetrominos!AT13</f>
        <v>' @  '</v>
      </c>
    </row>
    <row r="53" spans="1:3" x14ac:dyDescent="0.45">
      <c r="B53" t="str">
        <f>Tetrominos!AS14</f>
        <v>db</v>
      </c>
      <c r="C53" t="str">
        <f ca="1">Tetrominos!AT14</f>
        <v>' @@ '</v>
      </c>
    </row>
    <row r="54" spans="1:3" x14ac:dyDescent="0.45">
      <c r="B54" t="str">
        <f>Tetrominos!AS15</f>
        <v>db</v>
      </c>
      <c r="C54" t="str">
        <f ca="1">Tetrominos!AT15</f>
        <v>'    '</v>
      </c>
    </row>
    <row r="55" spans="1:3" x14ac:dyDescent="0.45">
      <c r="A55" t="s">
        <v>56</v>
      </c>
    </row>
    <row r="56" spans="1:3" x14ac:dyDescent="0.45">
      <c r="B56" t="str">
        <f>Tetrominos!AV12</f>
        <v>db</v>
      </c>
      <c r="C56" t="str">
        <f ca="1">Tetrominos!AW12</f>
        <v>'    '</v>
      </c>
    </row>
    <row r="57" spans="1:3" x14ac:dyDescent="0.45">
      <c r="B57" t="str">
        <f>Tetrominos!AV13</f>
        <v>db</v>
      </c>
      <c r="C57" t="str">
        <f ca="1">Tetrominos!AW13</f>
        <v>'@@@ '</v>
      </c>
    </row>
    <row r="58" spans="1:3" x14ac:dyDescent="0.45">
      <c r="B58" t="str">
        <f>Tetrominos!AV14</f>
        <v>db</v>
      </c>
      <c r="C58" t="str">
        <f ca="1">Tetrominos!AW14</f>
        <v>'@   '</v>
      </c>
    </row>
    <row r="59" spans="1:3" x14ac:dyDescent="0.45">
      <c r="B59" t="str">
        <f>Tetrominos!AV15</f>
        <v>db</v>
      </c>
      <c r="C59" t="str">
        <f ca="1">Tetrominos!AW15</f>
        <v>'    '</v>
      </c>
    </row>
    <row r="60" spans="1:3" x14ac:dyDescent="0.45">
      <c r="A60" t="s">
        <v>57</v>
      </c>
    </row>
    <row r="61" spans="1:3" x14ac:dyDescent="0.45">
      <c r="B61" t="str">
        <f>Tetrominos!AY12</f>
        <v>db</v>
      </c>
      <c r="C61" t="str">
        <f ca="1">Tetrominos!AZ12</f>
        <v>'@@  '</v>
      </c>
    </row>
    <row r="62" spans="1:3" x14ac:dyDescent="0.45">
      <c r="B62" t="str">
        <f>Tetrominos!AY13</f>
        <v>db</v>
      </c>
      <c r="C62" t="str">
        <f ca="1">Tetrominos!AZ13</f>
        <v>' @  '</v>
      </c>
    </row>
    <row r="63" spans="1:3" x14ac:dyDescent="0.45">
      <c r="B63" t="str">
        <f>Tetrominos!AY14</f>
        <v>db</v>
      </c>
      <c r="C63" t="str">
        <f ca="1">Tetrominos!AZ14</f>
        <v>' @  '</v>
      </c>
    </row>
    <row r="64" spans="1:3" x14ac:dyDescent="0.45">
      <c r="B64" t="str">
        <f>Tetrominos!AY15</f>
        <v>db</v>
      </c>
      <c r="C64" t="str">
        <f ca="1">Tetrominos!AZ15</f>
        <v>'    '</v>
      </c>
    </row>
    <row r="65" spans="1:3" x14ac:dyDescent="0.45">
      <c r="A65" t="s">
        <v>58</v>
      </c>
    </row>
    <row r="66" spans="1:3" x14ac:dyDescent="0.45">
      <c r="A66" t="s">
        <v>59</v>
      </c>
    </row>
    <row r="67" spans="1:3" x14ac:dyDescent="0.45">
      <c r="B67" t="str">
        <f>Tetrominos!AP17</f>
        <v>db</v>
      </c>
      <c r="C67" t="str">
        <f ca="1">Tetrominos!AQ17</f>
        <v>'+   '</v>
      </c>
    </row>
    <row r="68" spans="1:3" x14ac:dyDescent="0.45">
      <c r="B68" t="str">
        <f>Tetrominos!AP18</f>
        <v>db</v>
      </c>
      <c r="C68" t="str">
        <f ca="1">Tetrominos!AQ18</f>
        <v>'+++ '</v>
      </c>
    </row>
    <row r="69" spans="1:3" x14ac:dyDescent="0.45">
      <c r="B69" t="str">
        <f>Tetrominos!AP19</f>
        <v>db</v>
      </c>
      <c r="C69" t="str">
        <f ca="1">Tetrominos!AQ19</f>
        <v>'    '</v>
      </c>
    </row>
    <row r="70" spans="1:3" x14ac:dyDescent="0.45">
      <c r="B70" t="str">
        <f>Tetrominos!AP20</f>
        <v>db</v>
      </c>
      <c r="C70" t="str">
        <f ca="1">Tetrominos!AQ20</f>
        <v>'    '</v>
      </c>
    </row>
    <row r="71" spans="1:3" x14ac:dyDescent="0.45">
      <c r="A71" t="s">
        <v>60</v>
      </c>
    </row>
    <row r="72" spans="1:3" x14ac:dyDescent="0.45">
      <c r="B72" t="str">
        <f>Tetrominos!AS17</f>
        <v>db</v>
      </c>
      <c r="C72" t="str">
        <f ca="1">Tetrominos!AT17</f>
        <v>' ++ '</v>
      </c>
    </row>
    <row r="73" spans="1:3" x14ac:dyDescent="0.45">
      <c r="B73" t="str">
        <f>Tetrominos!AS18</f>
        <v>db</v>
      </c>
      <c r="C73" t="str">
        <f ca="1">Tetrominos!AT18</f>
        <v>' +  '</v>
      </c>
    </row>
    <row r="74" spans="1:3" x14ac:dyDescent="0.45">
      <c r="B74" t="str">
        <f>Tetrominos!AS19</f>
        <v>db</v>
      </c>
      <c r="C74" t="str">
        <f ca="1">Tetrominos!AT19</f>
        <v>' +  '</v>
      </c>
    </row>
    <row r="75" spans="1:3" x14ac:dyDescent="0.45">
      <c r="B75" t="str">
        <f>Tetrominos!AS20</f>
        <v>db</v>
      </c>
      <c r="C75" t="str">
        <f ca="1">Tetrominos!AT20</f>
        <v>'    '</v>
      </c>
    </row>
    <row r="76" spans="1:3" x14ac:dyDescent="0.45">
      <c r="A76" t="s">
        <v>61</v>
      </c>
    </row>
    <row r="77" spans="1:3" x14ac:dyDescent="0.45">
      <c r="B77" t="str">
        <f>Tetrominos!AV17</f>
        <v>db</v>
      </c>
      <c r="C77" t="str">
        <f ca="1">Tetrominos!AW17</f>
        <v>'    '</v>
      </c>
    </row>
    <row r="78" spans="1:3" x14ac:dyDescent="0.45">
      <c r="B78" t="str">
        <f>Tetrominos!AV18</f>
        <v>db</v>
      </c>
      <c r="C78" t="str">
        <f ca="1">Tetrominos!AW18</f>
        <v>'+++ '</v>
      </c>
    </row>
    <row r="79" spans="1:3" x14ac:dyDescent="0.45">
      <c r="B79" t="str">
        <f>Tetrominos!AV19</f>
        <v>db</v>
      </c>
      <c r="C79" t="str">
        <f ca="1">Tetrominos!AW19</f>
        <v>'  + '</v>
      </c>
    </row>
    <row r="80" spans="1:3" x14ac:dyDescent="0.45">
      <c r="B80" t="str">
        <f>Tetrominos!AV20</f>
        <v>db</v>
      </c>
      <c r="C80" t="str">
        <f ca="1">Tetrominos!AW20</f>
        <v>'    '</v>
      </c>
    </row>
    <row r="81" spans="1:3" x14ac:dyDescent="0.45">
      <c r="A81" t="s">
        <v>62</v>
      </c>
    </row>
    <row r="82" spans="1:3" x14ac:dyDescent="0.45">
      <c r="B82" t="str">
        <f>Tetrominos!AY17</f>
        <v>db</v>
      </c>
      <c r="C82" t="str">
        <f ca="1">Tetrominos!AZ17</f>
        <v>' +  '</v>
      </c>
    </row>
    <row r="83" spans="1:3" x14ac:dyDescent="0.45">
      <c r="B83" t="str">
        <f>Tetrominos!AY18</f>
        <v>db</v>
      </c>
      <c r="C83" t="str">
        <f ca="1">Tetrominos!AZ18</f>
        <v>' +  '</v>
      </c>
    </row>
    <row r="84" spans="1:3" x14ac:dyDescent="0.45">
      <c r="B84" t="str">
        <f>Tetrominos!AY19</f>
        <v>db</v>
      </c>
      <c r="C84" t="str">
        <f ca="1">Tetrominos!AZ19</f>
        <v>'++  '</v>
      </c>
    </row>
    <row r="85" spans="1:3" x14ac:dyDescent="0.45">
      <c r="B85" t="str">
        <f>Tetrominos!AY20</f>
        <v>db</v>
      </c>
      <c r="C85" t="str">
        <f ca="1">Tetrominos!AZ20</f>
        <v>'    '</v>
      </c>
    </row>
    <row r="86" spans="1:3" x14ac:dyDescent="0.45">
      <c r="A86" t="s">
        <v>63</v>
      </c>
    </row>
    <row r="87" spans="1:3" x14ac:dyDescent="0.45">
      <c r="A87" t="s">
        <v>64</v>
      </c>
    </row>
    <row r="88" spans="1:3" x14ac:dyDescent="0.45">
      <c r="B88" t="str">
        <f>Tetrominos!AP22</f>
        <v>db</v>
      </c>
      <c r="C88" t="str">
        <f ca="1">Tetrominos!AQ22</f>
        <v>' X  '</v>
      </c>
    </row>
    <row r="89" spans="1:3" x14ac:dyDescent="0.45">
      <c r="B89" t="str">
        <f>Tetrominos!AP23</f>
        <v>db</v>
      </c>
      <c r="C89" t="str">
        <f ca="1">Tetrominos!AQ23</f>
        <v>'XXX '</v>
      </c>
    </row>
    <row r="90" spans="1:3" x14ac:dyDescent="0.45">
      <c r="B90" t="str">
        <f>Tetrominos!AP24</f>
        <v>db</v>
      </c>
      <c r="C90" t="str">
        <f ca="1">Tetrominos!AQ24</f>
        <v>'    '</v>
      </c>
    </row>
    <row r="91" spans="1:3" x14ac:dyDescent="0.45">
      <c r="B91" t="str">
        <f>Tetrominos!AP25</f>
        <v>db</v>
      </c>
      <c r="C91" t="str">
        <f ca="1">Tetrominos!AQ25</f>
        <v>'    '</v>
      </c>
    </row>
    <row r="92" spans="1:3" x14ac:dyDescent="0.45">
      <c r="A92" t="s">
        <v>65</v>
      </c>
    </row>
    <row r="93" spans="1:3" x14ac:dyDescent="0.45">
      <c r="B93" t="str">
        <f>Tetrominos!AS22</f>
        <v>db</v>
      </c>
      <c r="C93" t="str">
        <f ca="1">Tetrominos!AT22</f>
        <v>' X  '</v>
      </c>
    </row>
    <row r="94" spans="1:3" x14ac:dyDescent="0.45">
      <c r="B94" t="str">
        <f>Tetrominos!AS23</f>
        <v>db</v>
      </c>
      <c r="C94" t="str">
        <f ca="1">Tetrominos!AT23</f>
        <v>' XX '</v>
      </c>
    </row>
    <row r="95" spans="1:3" x14ac:dyDescent="0.45">
      <c r="B95" t="str">
        <f>Tetrominos!AS24</f>
        <v>db</v>
      </c>
      <c r="C95" t="str">
        <f ca="1">Tetrominos!AT24</f>
        <v>' X  '</v>
      </c>
    </row>
    <row r="96" spans="1:3" x14ac:dyDescent="0.45">
      <c r="B96" t="str">
        <f>Tetrominos!AS25</f>
        <v>db</v>
      </c>
      <c r="C96" t="str">
        <f ca="1">Tetrominos!AT25</f>
        <v>'    '</v>
      </c>
    </row>
    <row r="97" spans="1:3" x14ac:dyDescent="0.45">
      <c r="A97" t="s">
        <v>66</v>
      </c>
    </row>
    <row r="98" spans="1:3" x14ac:dyDescent="0.45">
      <c r="B98" t="str">
        <f>Tetrominos!AV22</f>
        <v>db</v>
      </c>
      <c r="C98" t="str">
        <f ca="1">Tetrominos!AW22</f>
        <v>'    '</v>
      </c>
    </row>
    <row r="99" spans="1:3" x14ac:dyDescent="0.45">
      <c r="B99" t="str">
        <f>Tetrominos!AV23</f>
        <v>db</v>
      </c>
      <c r="C99" t="str">
        <f ca="1">Tetrominos!AW23</f>
        <v>'XXX '</v>
      </c>
    </row>
    <row r="100" spans="1:3" x14ac:dyDescent="0.45">
      <c r="B100" t="str">
        <f>Tetrominos!AV24</f>
        <v>db</v>
      </c>
      <c r="C100" t="str">
        <f ca="1">Tetrominos!AW24</f>
        <v>' X  '</v>
      </c>
    </row>
    <row r="101" spans="1:3" x14ac:dyDescent="0.45">
      <c r="B101" t="str">
        <f>Tetrominos!AV25</f>
        <v>db</v>
      </c>
      <c r="C101" t="str">
        <f ca="1">Tetrominos!AW25</f>
        <v>'    '</v>
      </c>
    </row>
    <row r="102" spans="1:3" x14ac:dyDescent="0.45">
      <c r="A102" t="s">
        <v>67</v>
      </c>
    </row>
    <row r="103" spans="1:3" x14ac:dyDescent="0.45">
      <c r="B103" t="str">
        <f>Tetrominos!AY22</f>
        <v>db</v>
      </c>
      <c r="C103" t="str">
        <f ca="1">Tetrominos!AZ22</f>
        <v>' X  '</v>
      </c>
    </row>
    <row r="104" spans="1:3" x14ac:dyDescent="0.45">
      <c r="B104" t="str">
        <f>Tetrominos!AY23</f>
        <v>db</v>
      </c>
      <c r="C104" t="str">
        <f ca="1">Tetrominos!AZ23</f>
        <v>'XX  '</v>
      </c>
    </row>
    <row r="105" spans="1:3" x14ac:dyDescent="0.45">
      <c r="B105" t="str">
        <f>Tetrominos!AY24</f>
        <v>db</v>
      </c>
      <c r="C105" t="str">
        <f ca="1">Tetrominos!AZ24</f>
        <v>' X  '</v>
      </c>
    </row>
    <row r="106" spans="1:3" x14ac:dyDescent="0.45">
      <c r="B106" t="str">
        <f>Tetrominos!AY25</f>
        <v>db</v>
      </c>
      <c r="C106" t="str">
        <f ca="1">Tetrominos!AZ25</f>
        <v>'    '</v>
      </c>
    </row>
    <row r="107" spans="1:3" x14ac:dyDescent="0.45">
      <c r="A107" t="s">
        <v>68</v>
      </c>
    </row>
    <row r="108" spans="1:3" x14ac:dyDescent="0.45">
      <c r="A108" t="s">
        <v>69</v>
      </c>
    </row>
    <row r="109" spans="1:3" x14ac:dyDescent="0.45">
      <c r="B109" t="str">
        <f>Tetrominos!AP27</f>
        <v>db</v>
      </c>
      <c r="C109" t="str">
        <f ca="1">Tetrominos!AQ27</f>
        <v>'    '</v>
      </c>
    </row>
    <row r="110" spans="1:3" x14ac:dyDescent="0.45">
      <c r="B110" t="str">
        <f>Tetrominos!AP28</f>
        <v>db</v>
      </c>
      <c r="C110" t="str">
        <f ca="1">Tetrominos!AQ28</f>
        <v>'HHHH'</v>
      </c>
    </row>
    <row r="111" spans="1:3" x14ac:dyDescent="0.45">
      <c r="B111" t="str">
        <f>Tetrominos!AP29</f>
        <v>db</v>
      </c>
      <c r="C111" t="str">
        <f ca="1">Tetrominos!AQ29</f>
        <v>'    '</v>
      </c>
    </row>
    <row r="112" spans="1:3" x14ac:dyDescent="0.45">
      <c r="B112" t="str">
        <f>Tetrominos!AP30</f>
        <v>db</v>
      </c>
      <c r="C112" t="str">
        <f ca="1">Tetrominos!AQ30</f>
        <v>'    '</v>
      </c>
    </row>
    <row r="113" spans="1:3" x14ac:dyDescent="0.45">
      <c r="A113" t="s">
        <v>70</v>
      </c>
    </row>
    <row r="114" spans="1:3" x14ac:dyDescent="0.45">
      <c r="B114" t="str">
        <f>Tetrominos!AS27</f>
        <v>db</v>
      </c>
      <c r="C114" t="str">
        <f ca="1">Tetrominos!AT27</f>
        <v>'  H '</v>
      </c>
    </row>
    <row r="115" spans="1:3" x14ac:dyDescent="0.45">
      <c r="B115" t="str">
        <f>Tetrominos!AS28</f>
        <v>db</v>
      </c>
      <c r="C115" t="str">
        <f ca="1">Tetrominos!AT28</f>
        <v>'  H '</v>
      </c>
    </row>
    <row r="116" spans="1:3" x14ac:dyDescent="0.45">
      <c r="B116" t="str">
        <f>Tetrominos!AS29</f>
        <v>db</v>
      </c>
      <c r="C116" t="str">
        <f ca="1">Tetrominos!AT29</f>
        <v>'  H '</v>
      </c>
    </row>
    <row r="117" spans="1:3" x14ac:dyDescent="0.45">
      <c r="B117" t="str">
        <f>Tetrominos!AS30</f>
        <v>db</v>
      </c>
      <c r="C117" t="str">
        <f ca="1">Tetrominos!AT30</f>
        <v>'  H '</v>
      </c>
    </row>
    <row r="118" spans="1:3" x14ac:dyDescent="0.45">
      <c r="A118" t="s">
        <v>71</v>
      </c>
    </row>
    <row r="119" spans="1:3" x14ac:dyDescent="0.45">
      <c r="B119" t="str">
        <f>Tetrominos!AV27</f>
        <v>db</v>
      </c>
      <c r="C119" t="str">
        <f ca="1">Tetrominos!AW27</f>
        <v>'    '</v>
      </c>
    </row>
    <row r="120" spans="1:3" x14ac:dyDescent="0.45">
      <c r="B120" t="str">
        <f>Tetrominos!AV28</f>
        <v>db</v>
      </c>
      <c r="C120" t="str">
        <f ca="1">Tetrominos!AW28</f>
        <v>'    '</v>
      </c>
    </row>
    <row r="121" spans="1:3" x14ac:dyDescent="0.45">
      <c r="B121" t="str">
        <f>Tetrominos!AV29</f>
        <v>db</v>
      </c>
      <c r="C121" t="str">
        <f ca="1">Tetrominos!AW29</f>
        <v>'HHHH'</v>
      </c>
    </row>
    <row r="122" spans="1:3" x14ac:dyDescent="0.45">
      <c r="B122" t="str">
        <f>Tetrominos!AV30</f>
        <v>db</v>
      </c>
      <c r="C122" t="str">
        <f ca="1">Tetrominos!AW30</f>
        <v>'    '</v>
      </c>
    </row>
    <row r="123" spans="1:3" x14ac:dyDescent="0.45">
      <c r="A123" t="s">
        <v>72</v>
      </c>
    </row>
    <row r="124" spans="1:3" x14ac:dyDescent="0.45">
      <c r="B124" t="str">
        <f>Tetrominos!AY27</f>
        <v>db</v>
      </c>
      <c r="C124" t="str">
        <f ca="1">Tetrominos!AZ27</f>
        <v>' H  '</v>
      </c>
    </row>
    <row r="125" spans="1:3" x14ac:dyDescent="0.45">
      <c r="B125" t="str">
        <f>Tetrominos!AY28</f>
        <v>db</v>
      </c>
      <c r="C125" t="str">
        <f ca="1">Tetrominos!AZ28</f>
        <v>' H  '</v>
      </c>
    </row>
    <row r="126" spans="1:3" x14ac:dyDescent="0.45">
      <c r="B126" t="str">
        <f>Tetrominos!AY29</f>
        <v>db</v>
      </c>
      <c r="C126" t="str">
        <f ca="1">Tetrominos!AZ29</f>
        <v>' H  '</v>
      </c>
    </row>
    <row r="127" spans="1:3" x14ac:dyDescent="0.45">
      <c r="B127" t="str">
        <f>Tetrominos!AY30</f>
        <v>db</v>
      </c>
      <c r="C127" t="str">
        <f ca="1">Tetrominos!AZ30</f>
        <v>' H  '</v>
      </c>
    </row>
    <row r="128" spans="1:3" x14ac:dyDescent="0.45">
      <c r="A128" t="s">
        <v>73</v>
      </c>
    </row>
    <row r="129" spans="1:3" x14ac:dyDescent="0.45">
      <c r="A129" t="s">
        <v>74</v>
      </c>
    </row>
    <row r="130" spans="1:3" x14ac:dyDescent="0.45">
      <c r="B130" t="str">
        <f>Tetrominos!AP32</f>
        <v>db</v>
      </c>
      <c r="C130" t="str">
        <f ca="1">Tetrominos!AQ32</f>
        <v>' OO '</v>
      </c>
    </row>
    <row r="131" spans="1:3" x14ac:dyDescent="0.45">
      <c r="B131" t="str">
        <f>Tetrominos!AP33</f>
        <v>db</v>
      </c>
      <c r="C131" t="str">
        <f ca="1">Tetrominos!AQ33</f>
        <v>' OO '</v>
      </c>
    </row>
    <row r="132" spans="1:3" x14ac:dyDescent="0.45">
      <c r="B132" t="str">
        <f>Tetrominos!AP34</f>
        <v>db</v>
      </c>
      <c r="C132" t="str">
        <f ca="1">Tetrominos!AQ34</f>
        <v>'    '</v>
      </c>
    </row>
    <row r="133" spans="1:3" x14ac:dyDescent="0.45">
      <c r="B133" t="str">
        <f>Tetrominos!AP35</f>
        <v>db</v>
      </c>
      <c r="C133" t="str">
        <f ca="1">Tetrominos!AQ35</f>
        <v>'    '</v>
      </c>
    </row>
    <row r="134" spans="1:3" x14ac:dyDescent="0.45">
      <c r="A134" t="s">
        <v>75</v>
      </c>
    </row>
    <row r="135" spans="1:3" x14ac:dyDescent="0.45">
      <c r="B135" t="str">
        <f>Tetrominos!AS32</f>
        <v>db</v>
      </c>
      <c r="C135" t="str">
        <f ca="1">Tetrominos!AT32</f>
        <v>' OO '</v>
      </c>
    </row>
    <row r="136" spans="1:3" x14ac:dyDescent="0.45">
      <c r="B136" t="str">
        <f>Tetrominos!AS33</f>
        <v>db</v>
      </c>
      <c r="C136" t="str">
        <f ca="1">Tetrominos!AT33</f>
        <v>' OO '</v>
      </c>
    </row>
    <row r="137" spans="1:3" x14ac:dyDescent="0.45">
      <c r="B137" t="str">
        <f>Tetrominos!AS34</f>
        <v>db</v>
      </c>
      <c r="C137" t="str">
        <f ca="1">Tetrominos!AT34</f>
        <v>'    '</v>
      </c>
    </row>
    <row r="138" spans="1:3" x14ac:dyDescent="0.45">
      <c r="B138" t="str">
        <f>Tetrominos!AS35</f>
        <v>db</v>
      </c>
      <c r="C138" t="str">
        <f ca="1">Tetrominos!AT35</f>
        <v>'    '</v>
      </c>
    </row>
    <row r="139" spans="1:3" x14ac:dyDescent="0.45">
      <c r="A139" t="s">
        <v>76</v>
      </c>
    </row>
    <row r="140" spans="1:3" x14ac:dyDescent="0.45">
      <c r="B140" t="str">
        <f>Tetrominos!AV32</f>
        <v>db</v>
      </c>
      <c r="C140" t="str">
        <f ca="1">Tetrominos!AW32</f>
        <v>' OO '</v>
      </c>
    </row>
    <row r="141" spans="1:3" x14ac:dyDescent="0.45">
      <c r="B141" t="str">
        <f>Tetrominos!AV33</f>
        <v>db</v>
      </c>
      <c r="C141" t="str">
        <f ca="1">Tetrominos!AW33</f>
        <v>' OO '</v>
      </c>
    </row>
    <row r="142" spans="1:3" x14ac:dyDescent="0.45">
      <c r="B142" t="str">
        <f>Tetrominos!AV34</f>
        <v>db</v>
      </c>
      <c r="C142" t="str">
        <f ca="1">Tetrominos!AW34</f>
        <v>'    '</v>
      </c>
    </row>
    <row r="143" spans="1:3" x14ac:dyDescent="0.45">
      <c r="B143" t="str">
        <f>Tetrominos!AV35</f>
        <v>db</v>
      </c>
      <c r="C143" t="str">
        <f ca="1">Tetrominos!AW35</f>
        <v>'    '</v>
      </c>
    </row>
    <row r="144" spans="1:3" x14ac:dyDescent="0.45">
      <c r="A144" t="s">
        <v>77</v>
      </c>
    </row>
    <row r="145" spans="2:3" x14ac:dyDescent="0.45">
      <c r="B145" t="str">
        <f>Tetrominos!AY32</f>
        <v>db</v>
      </c>
      <c r="C145" t="str">
        <f ca="1">Tetrominos!AZ32</f>
        <v>' OO '</v>
      </c>
    </row>
    <row r="146" spans="2:3" x14ac:dyDescent="0.45">
      <c r="B146" t="str">
        <f>Tetrominos!AY33</f>
        <v>db</v>
      </c>
      <c r="C146" t="str">
        <f ca="1">Tetrominos!AZ33</f>
        <v>' OO '</v>
      </c>
    </row>
    <row r="147" spans="2:3" x14ac:dyDescent="0.45">
      <c r="B147" t="str">
        <f>Tetrominos!AY34</f>
        <v>db</v>
      </c>
      <c r="C147" t="str">
        <f ca="1">Tetrominos!AZ34</f>
        <v>'    '</v>
      </c>
    </row>
    <row r="148" spans="2:3" x14ac:dyDescent="0.45">
      <c r="B148" t="str">
        <f>Tetrominos!AY35</f>
        <v>db</v>
      </c>
      <c r="C148" t="str">
        <f ca="1">Tetrominos!AZ35</f>
        <v>'    '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EF47B-9BDC-4651-935E-EB50F20765C9}">
  <dimension ref="A1:C11"/>
  <sheetViews>
    <sheetView workbookViewId="0">
      <selection activeCell="A12" sqref="A12"/>
    </sheetView>
  </sheetViews>
  <sheetFormatPr defaultRowHeight="14.25" x14ac:dyDescent="0.45"/>
  <sheetData>
    <row r="1" spans="1:3" x14ac:dyDescent="0.45">
      <c r="A1" t="s">
        <v>2</v>
      </c>
      <c r="B1" t="s">
        <v>31</v>
      </c>
      <c r="C1" t="s">
        <v>31</v>
      </c>
    </row>
    <row r="2" spans="1:3" x14ac:dyDescent="0.45">
      <c r="A2" t="s">
        <v>3</v>
      </c>
      <c r="B2" t="s">
        <v>32</v>
      </c>
      <c r="C2" t="s">
        <v>32</v>
      </c>
    </row>
    <row r="3" spans="1:3" x14ac:dyDescent="0.45">
      <c r="A3" t="s">
        <v>4</v>
      </c>
      <c r="B3" t="s">
        <v>78</v>
      </c>
      <c r="C3" t="s">
        <v>78</v>
      </c>
    </row>
    <row r="4" spans="1:3" x14ac:dyDescent="0.45">
      <c r="A4" t="s">
        <v>5</v>
      </c>
      <c r="B4" s="18" t="s">
        <v>81</v>
      </c>
      <c r="C4" s="18" t="s">
        <v>81</v>
      </c>
    </row>
    <row r="5" spans="1:3" x14ac:dyDescent="0.45">
      <c r="A5" t="s">
        <v>6</v>
      </c>
      <c r="B5" t="s">
        <v>79</v>
      </c>
      <c r="C5" t="s">
        <v>79</v>
      </c>
    </row>
    <row r="6" spans="1:3" x14ac:dyDescent="0.45">
      <c r="A6" t="s">
        <v>7</v>
      </c>
      <c r="B6" t="s">
        <v>80</v>
      </c>
      <c r="C6" t="s">
        <v>80</v>
      </c>
    </row>
    <row r="7" spans="1:3" x14ac:dyDescent="0.45">
      <c r="A7" t="s">
        <v>1</v>
      </c>
      <c r="B7" t="s">
        <v>1</v>
      </c>
      <c r="C7" t="s">
        <v>1</v>
      </c>
    </row>
    <row r="11" spans="1:3" x14ac:dyDescent="0.45">
      <c r="A11" t="s">
        <v>132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875A8-1365-47BE-93BB-747700C76215}">
  <dimension ref="A1:M22"/>
  <sheetViews>
    <sheetView workbookViewId="0">
      <selection activeCell="B9" sqref="B9:B14"/>
    </sheetView>
  </sheetViews>
  <sheetFormatPr defaultRowHeight="14.25" x14ac:dyDescent="0.45"/>
  <sheetData>
    <row r="1" spans="1:13" x14ac:dyDescent="0.45">
      <c r="A1" s="18" t="s">
        <v>83</v>
      </c>
      <c r="B1" s="18"/>
      <c r="C1" s="18"/>
      <c r="D1" s="18"/>
      <c r="E1" s="18">
        <v>0</v>
      </c>
      <c r="F1">
        <v>0</v>
      </c>
    </row>
    <row r="2" spans="1:13" x14ac:dyDescent="0.45">
      <c r="A2" s="18" t="s">
        <v>84</v>
      </c>
      <c r="B2" s="18"/>
      <c r="C2" s="18"/>
      <c r="D2" s="18"/>
      <c r="E2" s="18">
        <v>0</v>
      </c>
      <c r="F2">
        <v>1</v>
      </c>
    </row>
    <row r="3" spans="1:13" x14ac:dyDescent="0.45">
      <c r="A3" s="18" t="s">
        <v>85</v>
      </c>
      <c r="B3" s="18"/>
      <c r="C3" s="18"/>
      <c r="D3" s="18"/>
      <c r="E3" s="18">
        <v>1</v>
      </c>
      <c r="F3">
        <v>0</v>
      </c>
    </row>
    <row r="4" spans="1:13" x14ac:dyDescent="0.45">
      <c r="A4" s="18" t="s">
        <v>82</v>
      </c>
      <c r="B4" s="18"/>
      <c r="C4" s="18"/>
      <c r="D4" s="18"/>
      <c r="E4">
        <v>1</v>
      </c>
      <c r="F4">
        <v>1</v>
      </c>
    </row>
    <row r="6" spans="1:13" x14ac:dyDescent="0.45">
      <c r="A6" t="s">
        <v>108</v>
      </c>
      <c r="L6" s="18"/>
    </row>
    <row r="7" spans="1:13" x14ac:dyDescent="0.45">
      <c r="A7" t="s">
        <v>0</v>
      </c>
      <c r="B7" t="s">
        <v>89</v>
      </c>
      <c r="C7" t="s">
        <v>90</v>
      </c>
      <c r="E7" t="s">
        <v>95</v>
      </c>
      <c r="F7" t="s">
        <v>91</v>
      </c>
      <c r="G7" t="s">
        <v>92</v>
      </c>
      <c r="L7" s="18"/>
    </row>
    <row r="8" spans="1:13" x14ac:dyDescent="0.45">
      <c r="A8" t="s">
        <v>2</v>
      </c>
      <c r="B8" t="str">
        <f>VLOOKUP(A8,'Tetromino Chars'!A1:B7,2,FALSE)</f>
        <v>#</v>
      </c>
      <c r="C8">
        <f>CODE(B8)</f>
        <v>35</v>
      </c>
      <c r="E8" s="18" t="s">
        <v>96</v>
      </c>
      <c r="F8" t="str">
        <f>E8&amp;E8</f>
        <v>10011001</v>
      </c>
      <c r="G8" t="str">
        <f>BIN2HEX(F8,2)</f>
        <v>99</v>
      </c>
      <c r="I8" s="18" t="str">
        <f>C8&amp;",0"&amp;G8&amp;"h"</f>
        <v>35,099h</v>
      </c>
      <c r="K8" t="s">
        <v>94</v>
      </c>
      <c r="L8" s="18" t="s">
        <v>8</v>
      </c>
      <c r="M8" t="str">
        <f>_xlfn.CONCAT(I8,",",I9,",",I10,",",I11)</f>
        <v>35,099h,42,0AAh,64,0BBh,43,0CCh</v>
      </c>
    </row>
    <row r="9" spans="1:13" x14ac:dyDescent="0.45">
      <c r="A9" t="s">
        <v>3</v>
      </c>
      <c r="B9" t="str">
        <f>VLOOKUP(A9,'Tetromino Chars'!A2:B8,2,FALSE)</f>
        <v>*</v>
      </c>
      <c r="C9">
        <f t="shared" ref="C9:C19" si="0">CODE(B9)</f>
        <v>42</v>
      </c>
      <c r="E9" s="18" t="s">
        <v>97</v>
      </c>
      <c r="F9" t="str">
        <f t="shared" ref="F9:F19" si="1">E9&amp;E9</f>
        <v>10101010</v>
      </c>
      <c r="G9" t="str">
        <f t="shared" ref="G9:G19" si="2">BIN2HEX(F9,2)</f>
        <v>AA</v>
      </c>
      <c r="I9" s="18" t="str">
        <f t="shared" ref="I9:I19" si="3">C9&amp;",0"&amp;G9&amp;"h"</f>
        <v>42,0AAh</v>
      </c>
      <c r="L9" s="18" t="s">
        <v>8</v>
      </c>
      <c r="M9" t="str">
        <f>_xlfn.CONCAT(I12,",",I13,",",I14,",",I15)</f>
        <v>88,0DDh,72,0EEh,79,011h,32,077h</v>
      </c>
    </row>
    <row r="10" spans="1:13" x14ac:dyDescent="0.45">
      <c r="A10" t="s">
        <v>4</v>
      </c>
      <c r="B10" t="str">
        <f>VLOOKUP(A10,'Tetromino Chars'!A3:B9,2,FALSE)</f>
        <v>@</v>
      </c>
      <c r="C10">
        <f t="shared" si="0"/>
        <v>64</v>
      </c>
      <c r="E10" s="18" t="s">
        <v>98</v>
      </c>
      <c r="F10" t="str">
        <f t="shared" si="1"/>
        <v>10111011</v>
      </c>
      <c r="G10" t="str">
        <f t="shared" si="2"/>
        <v>BB</v>
      </c>
      <c r="I10" s="18" t="str">
        <f t="shared" si="3"/>
        <v>64,0BBh</v>
      </c>
      <c r="L10" s="18" t="s">
        <v>8</v>
      </c>
      <c r="M10" t="str">
        <f>CONCATENATE(I16,",",I17,",",I18,",",I19)</f>
        <v>45,077h,83,022h,120,000h,36,0FFh</v>
      </c>
    </row>
    <row r="11" spans="1:13" x14ac:dyDescent="0.45">
      <c r="A11" t="s">
        <v>5</v>
      </c>
      <c r="B11" t="str">
        <f>VLOOKUP(A11,'Tetromino Chars'!A4:B10,2,FALSE)</f>
        <v>+</v>
      </c>
      <c r="C11">
        <f t="shared" si="0"/>
        <v>43</v>
      </c>
      <c r="E11" s="18" t="s">
        <v>99</v>
      </c>
      <c r="F11" t="str">
        <f t="shared" si="1"/>
        <v>11001100</v>
      </c>
      <c r="G11" t="str">
        <f t="shared" si="2"/>
        <v>CC</v>
      </c>
      <c r="I11" s="18" t="str">
        <f t="shared" si="3"/>
        <v>43,0CCh</v>
      </c>
      <c r="L11" s="18"/>
    </row>
    <row r="12" spans="1:13" x14ac:dyDescent="0.45">
      <c r="A12" t="s">
        <v>6</v>
      </c>
      <c r="B12" t="str">
        <f>VLOOKUP(A12,'Tetromino Chars'!A5:B11,2,FALSE)</f>
        <v>X</v>
      </c>
      <c r="C12">
        <f t="shared" si="0"/>
        <v>88</v>
      </c>
      <c r="E12" s="18" t="s">
        <v>100</v>
      </c>
      <c r="F12" t="str">
        <f t="shared" si="1"/>
        <v>11011101</v>
      </c>
      <c r="G12" t="str">
        <f t="shared" si="2"/>
        <v>DD</v>
      </c>
      <c r="I12" s="18" t="str">
        <f t="shared" si="3"/>
        <v>88,0DDh</v>
      </c>
      <c r="L12" s="18"/>
    </row>
    <row r="13" spans="1:13" x14ac:dyDescent="0.45">
      <c r="A13" t="s">
        <v>7</v>
      </c>
      <c r="B13" t="str">
        <f>VLOOKUP(A13,'Tetromino Chars'!A6:B12,2,FALSE)</f>
        <v>H</v>
      </c>
      <c r="C13">
        <f t="shared" si="0"/>
        <v>72</v>
      </c>
      <c r="E13" s="18" t="s">
        <v>101</v>
      </c>
      <c r="F13" t="str">
        <f t="shared" si="1"/>
        <v>11101110</v>
      </c>
      <c r="G13" t="str">
        <f t="shared" si="2"/>
        <v>EE</v>
      </c>
      <c r="I13" s="18" t="str">
        <f t="shared" si="3"/>
        <v>72,0EEh</v>
      </c>
      <c r="L13" s="18"/>
    </row>
    <row r="14" spans="1:13" x14ac:dyDescent="0.45">
      <c r="A14" t="s">
        <v>1</v>
      </c>
      <c r="B14" t="str">
        <f>VLOOKUP(A14,'Tetromino Chars'!A7:B13,2,FALSE)</f>
        <v>O</v>
      </c>
      <c r="C14">
        <f t="shared" si="0"/>
        <v>79</v>
      </c>
      <c r="E14" s="18" t="s">
        <v>103</v>
      </c>
      <c r="F14" t="str">
        <f t="shared" si="1"/>
        <v>00010001</v>
      </c>
      <c r="G14" t="str">
        <f t="shared" si="2"/>
        <v>11</v>
      </c>
      <c r="I14" s="18" t="str">
        <f t="shared" si="3"/>
        <v>79,011h</v>
      </c>
    </row>
    <row r="15" spans="1:13" x14ac:dyDescent="0.45">
      <c r="A15" t="s">
        <v>93</v>
      </c>
      <c r="B15" s="18" t="s">
        <v>88</v>
      </c>
      <c r="C15">
        <f t="shared" si="0"/>
        <v>32</v>
      </c>
      <c r="E15" s="18" t="s">
        <v>105</v>
      </c>
      <c r="F15" t="str">
        <f t="shared" si="1"/>
        <v>01110111</v>
      </c>
      <c r="G15" t="str">
        <f t="shared" si="2"/>
        <v>77</v>
      </c>
      <c r="I15" s="18" t="str">
        <f t="shared" si="3"/>
        <v>32,077h</v>
      </c>
    </row>
    <row r="16" spans="1:13" x14ac:dyDescent="0.45">
      <c r="A16" t="s">
        <v>106</v>
      </c>
      <c r="B16" s="18" t="s">
        <v>33</v>
      </c>
      <c r="C16">
        <f t="shared" si="0"/>
        <v>45</v>
      </c>
      <c r="E16" s="18" t="s">
        <v>105</v>
      </c>
      <c r="F16" t="str">
        <f t="shared" si="1"/>
        <v>01110111</v>
      </c>
      <c r="G16" t="str">
        <f t="shared" si="2"/>
        <v>77</v>
      </c>
      <c r="I16" s="18" t="str">
        <f t="shared" si="3"/>
        <v>45,077h</v>
      </c>
    </row>
    <row r="17" spans="1:9" x14ac:dyDescent="0.45">
      <c r="A17" t="s">
        <v>106</v>
      </c>
      <c r="B17" s="18" t="s">
        <v>3</v>
      </c>
      <c r="C17">
        <f t="shared" si="0"/>
        <v>83</v>
      </c>
      <c r="E17" s="18" t="s">
        <v>104</v>
      </c>
      <c r="F17" t="str">
        <f t="shared" si="1"/>
        <v>00100010</v>
      </c>
      <c r="G17" t="str">
        <f t="shared" ref="G17" si="4">BIN2HEX(F17,2)</f>
        <v>22</v>
      </c>
      <c r="I17" s="18" t="str">
        <f t="shared" ref="I17:I18" si="5">C17&amp;",0"&amp;G17&amp;"h"</f>
        <v>83,022h</v>
      </c>
    </row>
    <row r="18" spans="1:9" x14ac:dyDescent="0.45">
      <c r="A18" t="s">
        <v>106</v>
      </c>
      <c r="B18" s="18" t="s">
        <v>25</v>
      </c>
      <c r="C18">
        <f t="shared" si="0"/>
        <v>120</v>
      </c>
      <c r="E18" s="18" t="s">
        <v>120</v>
      </c>
      <c r="F18" t="str">
        <f t="shared" si="1"/>
        <v>00000000</v>
      </c>
      <c r="G18" t="str">
        <f t="shared" ref="G18" si="6">BIN2HEX(F18,2)</f>
        <v>00</v>
      </c>
      <c r="I18" s="18" t="str">
        <f t="shared" si="5"/>
        <v>120,000h</v>
      </c>
    </row>
    <row r="19" spans="1:9" x14ac:dyDescent="0.45">
      <c r="A19" t="s">
        <v>107</v>
      </c>
      <c r="B19" s="18" t="s">
        <v>109</v>
      </c>
      <c r="C19">
        <f t="shared" si="0"/>
        <v>36</v>
      </c>
      <c r="E19" s="18" t="s">
        <v>102</v>
      </c>
      <c r="F19" t="str">
        <f t="shared" si="1"/>
        <v>11111111</v>
      </c>
      <c r="G19" t="str">
        <f t="shared" si="2"/>
        <v>FF</v>
      </c>
      <c r="I19" s="18" t="str">
        <f t="shared" si="3"/>
        <v>36,0FFh</v>
      </c>
    </row>
    <row r="20" spans="1:9" x14ac:dyDescent="0.45">
      <c r="B20" s="18"/>
      <c r="E20" s="18"/>
      <c r="I20" s="18">
        <f>COUNTIF(I8:I19,"&lt;&gt;")</f>
        <v>12</v>
      </c>
    </row>
    <row r="21" spans="1:9" x14ac:dyDescent="0.45">
      <c r="B21" s="18"/>
      <c r="E21" s="18"/>
      <c r="I21" s="18"/>
    </row>
    <row r="22" spans="1:9" x14ac:dyDescent="0.45">
      <c r="B22" s="18"/>
      <c r="E22" s="18"/>
      <c r="I22" s="18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9D1EF-321F-4743-8BFE-F3EC3E2F821C}">
  <dimension ref="A1:XFD92"/>
  <sheetViews>
    <sheetView topLeftCell="A34" workbookViewId="0">
      <selection activeCell="AJ88" sqref="AJ88:AJ92"/>
    </sheetView>
  </sheetViews>
  <sheetFormatPr defaultRowHeight="14.25" x14ac:dyDescent="0.45"/>
  <cols>
    <col min="1" max="32" width="2.796875" customWidth="1"/>
  </cols>
  <sheetData>
    <row r="1" spans="3:35" x14ac:dyDescent="0.45">
      <c r="C1">
        <v>0</v>
      </c>
      <c r="D1">
        <v>0</v>
      </c>
      <c r="E1">
        <v>0</v>
      </c>
      <c r="H1">
        <v>0</v>
      </c>
      <c r="I1">
        <v>0</v>
      </c>
      <c r="J1">
        <v>0</v>
      </c>
      <c r="M1">
        <v>0</v>
      </c>
      <c r="N1">
        <v>0</v>
      </c>
      <c r="O1">
        <v>0</v>
      </c>
      <c r="R1">
        <v>0</v>
      </c>
      <c r="S1">
        <v>0</v>
      </c>
      <c r="T1">
        <v>0</v>
      </c>
      <c r="W1">
        <v>0</v>
      </c>
      <c r="X1">
        <v>0</v>
      </c>
      <c r="Y1">
        <v>0</v>
      </c>
      <c r="AB1">
        <v>0</v>
      </c>
      <c r="AC1">
        <v>0</v>
      </c>
      <c r="AD1">
        <v>0</v>
      </c>
    </row>
    <row r="2" spans="3:35" x14ac:dyDescent="0.45">
      <c r="C2">
        <v>0</v>
      </c>
      <c r="E2">
        <v>0</v>
      </c>
      <c r="H2">
        <v>0</v>
      </c>
      <c r="J2">
        <v>0</v>
      </c>
      <c r="M2">
        <v>0</v>
      </c>
      <c r="O2">
        <v>0</v>
      </c>
      <c r="R2">
        <v>0</v>
      </c>
      <c r="T2">
        <v>0</v>
      </c>
      <c r="W2">
        <v>0</v>
      </c>
      <c r="Y2">
        <v>0</v>
      </c>
      <c r="AB2">
        <v>0</v>
      </c>
      <c r="AD2">
        <v>0</v>
      </c>
    </row>
    <row r="3" spans="3:35" x14ac:dyDescent="0.45">
      <c r="C3">
        <v>0</v>
      </c>
      <c r="E3">
        <v>0</v>
      </c>
      <c r="H3">
        <v>0</v>
      </c>
      <c r="J3">
        <v>0</v>
      </c>
      <c r="M3">
        <v>0</v>
      </c>
      <c r="O3">
        <v>0</v>
      </c>
      <c r="R3">
        <v>0</v>
      </c>
      <c r="T3">
        <v>0</v>
      </c>
      <c r="W3">
        <v>0</v>
      </c>
      <c r="Y3">
        <v>0</v>
      </c>
      <c r="AB3">
        <v>0</v>
      </c>
      <c r="AD3">
        <v>0</v>
      </c>
    </row>
    <row r="4" spans="3:35" x14ac:dyDescent="0.45">
      <c r="C4">
        <v>0</v>
      </c>
      <c r="E4">
        <v>0</v>
      </c>
      <c r="H4">
        <v>0</v>
      </c>
      <c r="J4">
        <v>0</v>
      </c>
      <c r="M4">
        <v>0</v>
      </c>
      <c r="O4">
        <v>0</v>
      </c>
      <c r="R4">
        <v>0</v>
      </c>
      <c r="T4">
        <v>0</v>
      </c>
      <c r="W4">
        <v>0</v>
      </c>
      <c r="Y4">
        <v>0</v>
      </c>
      <c r="AB4">
        <v>0</v>
      </c>
      <c r="AD4">
        <v>0</v>
      </c>
      <c r="AI4">
        <f>15*22</f>
        <v>330</v>
      </c>
    </row>
    <row r="5" spans="3:35" x14ac:dyDescent="0.45">
      <c r="C5">
        <v>0</v>
      </c>
      <c r="D5">
        <v>0</v>
      </c>
      <c r="E5">
        <v>0</v>
      </c>
      <c r="H5">
        <v>0</v>
      </c>
      <c r="I5">
        <v>0</v>
      </c>
      <c r="J5">
        <v>0</v>
      </c>
      <c r="M5">
        <v>0</v>
      </c>
      <c r="N5">
        <v>0</v>
      </c>
      <c r="O5">
        <v>0</v>
      </c>
      <c r="R5">
        <v>0</v>
      </c>
      <c r="S5">
        <v>0</v>
      </c>
      <c r="T5">
        <v>0</v>
      </c>
      <c r="W5">
        <v>0</v>
      </c>
      <c r="X5">
        <v>0</v>
      </c>
      <c r="Y5">
        <v>0</v>
      </c>
      <c r="AB5">
        <v>0</v>
      </c>
      <c r="AC5">
        <v>0</v>
      </c>
      <c r="AD5">
        <v>0</v>
      </c>
      <c r="AI5">
        <f>21*15</f>
        <v>315</v>
      </c>
    </row>
    <row r="7" spans="3:35" x14ac:dyDescent="0.45">
      <c r="K7" t="s">
        <v>86</v>
      </c>
      <c r="V7" t="s">
        <v>86</v>
      </c>
    </row>
    <row r="8" spans="3:35" x14ac:dyDescent="0.45">
      <c r="K8" t="s">
        <v>86</v>
      </c>
      <c r="V8" t="s">
        <v>86</v>
      </c>
    </row>
    <row r="9" spans="3:35" x14ac:dyDescent="0.45">
      <c r="K9" t="s">
        <v>86</v>
      </c>
      <c r="V9" t="s">
        <v>86</v>
      </c>
    </row>
    <row r="10" spans="3:35" x14ac:dyDescent="0.45">
      <c r="K10" t="s">
        <v>86</v>
      </c>
      <c r="V10" t="s">
        <v>86</v>
      </c>
    </row>
    <row r="11" spans="3:35" x14ac:dyDescent="0.45">
      <c r="K11" t="s">
        <v>86</v>
      </c>
      <c r="V11" t="s">
        <v>86</v>
      </c>
    </row>
    <row r="12" spans="3:35" x14ac:dyDescent="0.45">
      <c r="K12" t="s">
        <v>86</v>
      </c>
      <c r="V12" t="s">
        <v>86</v>
      </c>
    </row>
    <row r="13" spans="3:35" x14ac:dyDescent="0.45">
      <c r="K13" t="s">
        <v>86</v>
      </c>
      <c r="V13" t="s">
        <v>86</v>
      </c>
    </row>
    <row r="14" spans="3:35" x14ac:dyDescent="0.45">
      <c r="K14" t="s">
        <v>86</v>
      </c>
      <c r="V14" t="s">
        <v>86</v>
      </c>
    </row>
    <row r="15" spans="3:35" x14ac:dyDescent="0.45">
      <c r="K15" t="s">
        <v>86</v>
      </c>
      <c r="V15" t="s">
        <v>86</v>
      </c>
    </row>
    <row r="16" spans="3:35" x14ac:dyDescent="0.45">
      <c r="K16" t="s">
        <v>86</v>
      </c>
      <c r="V16" t="s">
        <v>86</v>
      </c>
    </row>
    <row r="17" spans="1:34" x14ac:dyDescent="0.45">
      <c r="K17" t="s">
        <v>86</v>
      </c>
      <c r="V17" t="s">
        <v>86</v>
      </c>
    </row>
    <row r="18" spans="1:34" x14ac:dyDescent="0.45">
      <c r="K18" t="s">
        <v>86</v>
      </c>
      <c r="V18" t="s">
        <v>86</v>
      </c>
    </row>
    <row r="19" spans="1:34" x14ac:dyDescent="0.45">
      <c r="K19" t="s">
        <v>86</v>
      </c>
      <c r="V19" t="s">
        <v>86</v>
      </c>
    </row>
    <row r="20" spans="1:34" x14ac:dyDescent="0.45">
      <c r="K20" t="s">
        <v>86</v>
      </c>
      <c r="V20" t="s">
        <v>86</v>
      </c>
    </row>
    <row r="21" spans="1:34" x14ac:dyDescent="0.45">
      <c r="K21" t="s">
        <v>86</v>
      </c>
      <c r="V21" t="s">
        <v>86</v>
      </c>
    </row>
    <row r="22" spans="1:34" x14ac:dyDescent="0.45">
      <c r="K22" t="s">
        <v>86</v>
      </c>
      <c r="V22" t="s">
        <v>86</v>
      </c>
    </row>
    <row r="23" spans="1:34" x14ac:dyDescent="0.45">
      <c r="K23" t="s">
        <v>86</v>
      </c>
      <c r="V23" t="s">
        <v>86</v>
      </c>
    </row>
    <row r="24" spans="1:34" x14ac:dyDescent="0.45">
      <c r="K24" t="s">
        <v>86</v>
      </c>
      <c r="V24" t="s">
        <v>86</v>
      </c>
    </row>
    <row r="25" spans="1:34" x14ac:dyDescent="0.45">
      <c r="K25" t="s">
        <v>86</v>
      </c>
      <c r="V25" t="s">
        <v>86</v>
      </c>
    </row>
    <row r="26" spans="1:34" x14ac:dyDescent="0.45">
      <c r="K26" t="s">
        <v>86</v>
      </c>
      <c r="V26" t="s">
        <v>86</v>
      </c>
    </row>
    <row r="27" spans="1:34" x14ac:dyDescent="0.45">
      <c r="K27" s="18" t="s">
        <v>128</v>
      </c>
      <c r="L27" s="18" t="s">
        <v>121</v>
      </c>
      <c r="M27" s="18" t="s">
        <v>121</v>
      </c>
      <c r="N27" s="18" t="s">
        <v>121</v>
      </c>
      <c r="O27" s="18" t="s">
        <v>121</v>
      </c>
      <c r="P27" s="18" t="s">
        <v>121</v>
      </c>
      <c r="Q27" s="18" t="s">
        <v>121</v>
      </c>
      <c r="R27" s="18" t="s">
        <v>121</v>
      </c>
      <c r="S27" s="18" t="s">
        <v>121</v>
      </c>
      <c r="T27" s="18" t="s">
        <v>121</v>
      </c>
      <c r="U27" s="18" t="s">
        <v>121</v>
      </c>
      <c r="V27" s="18" t="s">
        <v>129</v>
      </c>
    </row>
    <row r="31" spans="1:34" x14ac:dyDescent="0.45">
      <c r="A31" t="s">
        <v>130</v>
      </c>
      <c r="AH31" t="s">
        <v>131</v>
      </c>
    </row>
    <row r="33" spans="1:59 16384:16384" x14ac:dyDescent="0.45">
      <c r="A33" t="s">
        <v>87</v>
      </c>
      <c r="B33" t="s">
        <v>87</v>
      </c>
      <c r="C33" t="s">
        <v>87</v>
      </c>
      <c r="AH33" t="s">
        <v>112</v>
      </c>
      <c r="XFD33" t="s">
        <v>87</v>
      </c>
    </row>
    <row r="34" spans="1:59 16384:16384" x14ac:dyDescent="0.45">
      <c r="A34" t="s">
        <v>3</v>
      </c>
      <c r="B34" t="s">
        <v>3</v>
      </c>
      <c r="C34" t="s">
        <v>3</v>
      </c>
      <c r="AI34" t="s">
        <v>8</v>
      </c>
      <c r="AJ34" t="str">
        <f>SUBSTITUTE("'"&amp;A34&amp;B34&amp;C34&amp;"'"," ", "x")</f>
        <v>'SSS'</v>
      </c>
    </row>
    <row r="35" spans="1:59 16384:16384" x14ac:dyDescent="0.45">
      <c r="A35" t="s">
        <v>3</v>
      </c>
      <c r="B35" t="s">
        <v>88</v>
      </c>
      <c r="C35" t="s">
        <v>3</v>
      </c>
      <c r="AI35" t="s">
        <v>8</v>
      </c>
      <c r="AJ35" t="str">
        <f>SUBSTITUTE("'"&amp;A35&amp;B35&amp;C35&amp;"'"," ", "x")</f>
        <v>'SxS'</v>
      </c>
    </row>
    <row r="36" spans="1:59 16384:16384" x14ac:dyDescent="0.45">
      <c r="A36" t="s">
        <v>3</v>
      </c>
      <c r="B36" t="s">
        <v>88</v>
      </c>
      <c r="C36" t="s">
        <v>3</v>
      </c>
      <c r="AI36" t="s">
        <v>8</v>
      </c>
      <c r="AJ36" t="str">
        <f>SUBSTITUTE("'"&amp;A36&amp;B36&amp;C36&amp;"'"," ", "x")</f>
        <v>'SxS'</v>
      </c>
    </row>
    <row r="37" spans="1:59 16384:16384" x14ac:dyDescent="0.45">
      <c r="A37" t="s">
        <v>3</v>
      </c>
      <c r="B37" t="s">
        <v>88</v>
      </c>
      <c r="C37" t="s">
        <v>3</v>
      </c>
      <c r="AI37" t="s">
        <v>8</v>
      </c>
      <c r="AJ37" t="str">
        <f>SUBSTITUTE("'"&amp;A37&amp;B37&amp;C37&amp;"'"," ", "x")</f>
        <v>'SxS'</v>
      </c>
    </row>
    <row r="38" spans="1:59 16384:16384" x14ac:dyDescent="0.45">
      <c r="A38" t="s">
        <v>3</v>
      </c>
      <c r="B38" t="s">
        <v>3</v>
      </c>
      <c r="C38" t="s">
        <v>3</v>
      </c>
      <c r="AI38" t="s">
        <v>8</v>
      </c>
      <c r="AJ38" t="str">
        <f>SUBSTITUTE("'"&amp;A38&amp;B38&amp;C38&amp;"'"," ", "x")</f>
        <v>'SSS'</v>
      </c>
    </row>
    <row r="39" spans="1:59 16384:16384" x14ac:dyDescent="0.45">
      <c r="AH39" t="s">
        <v>110</v>
      </c>
    </row>
    <row r="40" spans="1:59 16384:16384" x14ac:dyDescent="0.45">
      <c r="A40" t="s">
        <v>88</v>
      </c>
      <c r="B40" t="s">
        <v>3</v>
      </c>
      <c r="C40" t="s">
        <v>88</v>
      </c>
      <c r="AI40" t="s">
        <v>8</v>
      </c>
      <c r="AJ40" t="str">
        <f t="shared" ref="AJ40:AJ44" si="0">SUBSTITUTE("'"&amp;A40&amp;B40&amp;C40&amp;"'"," ", "x")</f>
        <v>'xSx'</v>
      </c>
    </row>
    <row r="41" spans="1:59 16384:16384" x14ac:dyDescent="0.45">
      <c r="A41" t="s">
        <v>88</v>
      </c>
      <c r="B41" t="s">
        <v>3</v>
      </c>
      <c r="C41" t="s">
        <v>88</v>
      </c>
      <c r="AI41" t="s">
        <v>8</v>
      </c>
      <c r="AJ41" t="str">
        <f t="shared" si="0"/>
        <v>'xSx'</v>
      </c>
    </row>
    <row r="42" spans="1:59 16384:16384" x14ac:dyDescent="0.45">
      <c r="A42" t="s">
        <v>88</v>
      </c>
      <c r="B42" t="s">
        <v>3</v>
      </c>
      <c r="C42" t="s">
        <v>88</v>
      </c>
      <c r="AI42" t="s">
        <v>8</v>
      </c>
      <c r="AJ42" t="str">
        <f t="shared" si="0"/>
        <v>'xSx'</v>
      </c>
      <c r="AZ42" t="s">
        <v>87</v>
      </c>
      <c r="BA42" t="s">
        <v>87</v>
      </c>
      <c r="BB42" t="s">
        <v>87</v>
      </c>
      <c r="BE42" t="s">
        <v>87</v>
      </c>
      <c r="BF42" t="s">
        <v>87</v>
      </c>
      <c r="BG42" t="s">
        <v>87</v>
      </c>
    </row>
    <row r="43" spans="1:59 16384:16384" x14ac:dyDescent="0.45">
      <c r="A43" t="s">
        <v>88</v>
      </c>
      <c r="B43" t="s">
        <v>3</v>
      </c>
      <c r="C43" t="s">
        <v>88</v>
      </c>
      <c r="AI43" t="s">
        <v>8</v>
      </c>
      <c r="AJ43" t="str">
        <f t="shared" si="0"/>
        <v>'xSx'</v>
      </c>
    </row>
    <row r="44" spans="1:59 16384:16384" x14ac:dyDescent="0.45">
      <c r="A44" t="s">
        <v>88</v>
      </c>
      <c r="B44" t="s">
        <v>3</v>
      </c>
      <c r="C44" t="s">
        <v>88</v>
      </c>
      <c r="AI44" t="s">
        <v>8</v>
      </c>
      <c r="AJ44" t="str">
        <f t="shared" si="0"/>
        <v>'xSx'</v>
      </c>
    </row>
    <row r="45" spans="1:59 16384:16384" x14ac:dyDescent="0.45">
      <c r="AH45" t="s">
        <v>111</v>
      </c>
    </row>
    <row r="46" spans="1:59 16384:16384" x14ac:dyDescent="0.45">
      <c r="A46" t="s">
        <v>3</v>
      </c>
      <c r="B46" t="s">
        <v>3</v>
      </c>
      <c r="C46" t="s">
        <v>3</v>
      </c>
      <c r="AI46" t="s">
        <v>8</v>
      </c>
      <c r="AJ46" t="str">
        <f t="shared" ref="AJ46:AJ50" si="1">SUBSTITUTE("'"&amp;A46&amp;B46&amp;C46&amp;"'"," ", "x")</f>
        <v>'SSS'</v>
      </c>
    </row>
    <row r="47" spans="1:59 16384:16384" x14ac:dyDescent="0.45">
      <c r="A47" t="s">
        <v>88</v>
      </c>
      <c r="B47" t="s">
        <v>88</v>
      </c>
      <c r="C47" t="s">
        <v>3</v>
      </c>
      <c r="AI47" t="s">
        <v>8</v>
      </c>
      <c r="AJ47" t="str">
        <f t="shared" si="1"/>
        <v>'xxS'</v>
      </c>
    </row>
    <row r="48" spans="1:59 16384:16384" x14ac:dyDescent="0.45">
      <c r="A48" t="s">
        <v>3</v>
      </c>
      <c r="B48" t="s">
        <v>3</v>
      </c>
      <c r="C48" t="s">
        <v>3</v>
      </c>
      <c r="AI48" t="s">
        <v>8</v>
      </c>
      <c r="AJ48" t="str">
        <f t="shared" si="1"/>
        <v>'SSS'</v>
      </c>
    </row>
    <row r="49" spans="1:36" x14ac:dyDescent="0.45">
      <c r="A49" t="s">
        <v>3</v>
      </c>
      <c r="B49" t="s">
        <v>88</v>
      </c>
      <c r="C49" t="s">
        <v>88</v>
      </c>
      <c r="AI49" t="s">
        <v>8</v>
      </c>
      <c r="AJ49" t="str">
        <f t="shared" si="1"/>
        <v>'Sxx'</v>
      </c>
    </row>
    <row r="50" spans="1:36" x14ac:dyDescent="0.45">
      <c r="A50" t="s">
        <v>3</v>
      </c>
      <c r="B50" t="s">
        <v>3</v>
      </c>
      <c r="C50" t="s">
        <v>3</v>
      </c>
      <c r="AI50" t="s">
        <v>8</v>
      </c>
      <c r="AJ50" t="str">
        <f t="shared" si="1"/>
        <v>'SSS'</v>
      </c>
    </row>
    <row r="51" spans="1:36" x14ac:dyDescent="0.45">
      <c r="AH51" t="s">
        <v>113</v>
      </c>
    </row>
    <row r="52" spans="1:36" x14ac:dyDescent="0.45">
      <c r="A52" t="s">
        <v>3</v>
      </c>
      <c r="B52" t="s">
        <v>3</v>
      </c>
      <c r="C52" t="s">
        <v>3</v>
      </c>
      <c r="AI52" t="s">
        <v>8</v>
      </c>
      <c r="AJ52" t="str">
        <f t="shared" ref="AJ52:AJ56" si="2">SUBSTITUTE("'"&amp;A52&amp;B52&amp;C52&amp;"'"," ", "x")</f>
        <v>'SSS'</v>
      </c>
    </row>
    <row r="53" spans="1:36" x14ac:dyDescent="0.45">
      <c r="A53" t="s">
        <v>88</v>
      </c>
      <c r="B53" t="s">
        <v>88</v>
      </c>
      <c r="C53" t="s">
        <v>3</v>
      </c>
      <c r="AI53" t="s">
        <v>8</v>
      </c>
      <c r="AJ53" t="str">
        <f t="shared" si="2"/>
        <v>'xxS'</v>
      </c>
    </row>
    <row r="54" spans="1:36" x14ac:dyDescent="0.45">
      <c r="A54" t="s">
        <v>3</v>
      </c>
      <c r="B54" t="s">
        <v>3</v>
      </c>
      <c r="C54" t="s">
        <v>3</v>
      </c>
      <c r="AI54" t="s">
        <v>8</v>
      </c>
      <c r="AJ54" t="str">
        <f t="shared" si="2"/>
        <v>'SSS'</v>
      </c>
    </row>
    <row r="55" spans="1:36" x14ac:dyDescent="0.45">
      <c r="A55" t="s">
        <v>88</v>
      </c>
      <c r="B55" t="s">
        <v>88</v>
      </c>
      <c r="C55" t="s">
        <v>3</v>
      </c>
      <c r="AI55" t="s">
        <v>8</v>
      </c>
      <c r="AJ55" t="str">
        <f t="shared" si="2"/>
        <v>'xxS'</v>
      </c>
    </row>
    <row r="56" spans="1:36" x14ac:dyDescent="0.45">
      <c r="A56" t="s">
        <v>3</v>
      </c>
      <c r="B56" t="s">
        <v>3</v>
      </c>
      <c r="C56" t="s">
        <v>3</v>
      </c>
      <c r="AI56" t="s">
        <v>8</v>
      </c>
      <c r="AJ56" t="str">
        <f t="shared" si="2"/>
        <v>'SSS'</v>
      </c>
    </row>
    <row r="57" spans="1:36" x14ac:dyDescent="0.45">
      <c r="AH57" t="s">
        <v>114</v>
      </c>
    </row>
    <row r="58" spans="1:36" x14ac:dyDescent="0.45">
      <c r="A58" t="s">
        <v>3</v>
      </c>
      <c r="B58" t="s">
        <v>88</v>
      </c>
      <c r="C58" t="s">
        <v>3</v>
      </c>
      <c r="AI58" t="s">
        <v>8</v>
      </c>
      <c r="AJ58" t="str">
        <f t="shared" ref="AJ58:AJ62" si="3">SUBSTITUTE("'"&amp;A58&amp;B58&amp;C58&amp;"'"," ", "x")</f>
        <v>'SxS'</v>
      </c>
    </row>
    <row r="59" spans="1:36" x14ac:dyDescent="0.45">
      <c r="A59" t="s">
        <v>3</v>
      </c>
      <c r="B59" t="s">
        <v>88</v>
      </c>
      <c r="C59" t="s">
        <v>3</v>
      </c>
      <c r="AI59" t="s">
        <v>8</v>
      </c>
      <c r="AJ59" t="str">
        <f t="shared" si="3"/>
        <v>'SxS'</v>
      </c>
    </row>
    <row r="60" spans="1:36" x14ac:dyDescent="0.45">
      <c r="A60" t="s">
        <v>3</v>
      </c>
      <c r="B60" t="s">
        <v>3</v>
      </c>
      <c r="C60" t="s">
        <v>3</v>
      </c>
      <c r="AI60" t="s">
        <v>8</v>
      </c>
      <c r="AJ60" t="str">
        <f t="shared" si="3"/>
        <v>'SSS'</v>
      </c>
    </row>
    <row r="61" spans="1:36" x14ac:dyDescent="0.45">
      <c r="A61" t="s">
        <v>88</v>
      </c>
      <c r="B61" t="s">
        <v>88</v>
      </c>
      <c r="C61" t="s">
        <v>3</v>
      </c>
      <c r="AI61" t="s">
        <v>8</v>
      </c>
      <c r="AJ61" t="str">
        <f t="shared" si="3"/>
        <v>'xxS'</v>
      </c>
    </row>
    <row r="62" spans="1:36" x14ac:dyDescent="0.45">
      <c r="A62" t="s">
        <v>88</v>
      </c>
      <c r="B62" t="s">
        <v>88</v>
      </c>
      <c r="C62" t="s">
        <v>3</v>
      </c>
      <c r="AI62" t="s">
        <v>8</v>
      </c>
      <c r="AJ62" t="str">
        <f t="shared" si="3"/>
        <v>'xxS'</v>
      </c>
    </row>
    <row r="63" spans="1:36" x14ac:dyDescent="0.45">
      <c r="AH63" t="s">
        <v>115</v>
      </c>
    </row>
    <row r="64" spans="1:36" x14ac:dyDescent="0.45">
      <c r="A64" t="s">
        <v>3</v>
      </c>
      <c r="B64" t="s">
        <v>3</v>
      </c>
      <c r="C64" t="s">
        <v>3</v>
      </c>
      <c r="AI64" t="s">
        <v>8</v>
      </c>
      <c r="AJ64" t="str">
        <f t="shared" ref="AJ64:AJ68" si="4">SUBSTITUTE("'"&amp;A64&amp;B64&amp;C64&amp;"'"," ", "x")</f>
        <v>'SSS'</v>
      </c>
    </row>
    <row r="65" spans="1:36" x14ac:dyDescent="0.45">
      <c r="A65" t="s">
        <v>3</v>
      </c>
      <c r="B65" t="s">
        <v>88</v>
      </c>
      <c r="C65" t="s">
        <v>88</v>
      </c>
      <c r="AI65" t="s">
        <v>8</v>
      </c>
      <c r="AJ65" t="str">
        <f t="shared" si="4"/>
        <v>'Sxx'</v>
      </c>
    </row>
    <row r="66" spans="1:36" x14ac:dyDescent="0.45">
      <c r="A66" t="s">
        <v>3</v>
      </c>
      <c r="B66" t="s">
        <v>3</v>
      </c>
      <c r="C66" t="s">
        <v>3</v>
      </c>
      <c r="AI66" t="s">
        <v>8</v>
      </c>
      <c r="AJ66" t="str">
        <f t="shared" si="4"/>
        <v>'SSS'</v>
      </c>
    </row>
    <row r="67" spans="1:36" x14ac:dyDescent="0.45">
      <c r="A67" t="s">
        <v>88</v>
      </c>
      <c r="B67" t="s">
        <v>88</v>
      </c>
      <c r="C67" t="s">
        <v>3</v>
      </c>
      <c r="AI67" t="s">
        <v>8</v>
      </c>
      <c r="AJ67" t="str">
        <f t="shared" si="4"/>
        <v>'xxS'</v>
      </c>
    </row>
    <row r="68" spans="1:36" x14ac:dyDescent="0.45">
      <c r="A68" t="s">
        <v>3</v>
      </c>
      <c r="B68" t="s">
        <v>3</v>
      </c>
      <c r="C68" t="s">
        <v>3</v>
      </c>
      <c r="AI68" t="s">
        <v>8</v>
      </c>
      <c r="AJ68" t="str">
        <f t="shared" si="4"/>
        <v>'SSS'</v>
      </c>
    </row>
    <row r="69" spans="1:36" x14ac:dyDescent="0.45">
      <c r="AH69" t="s">
        <v>116</v>
      </c>
    </row>
    <row r="70" spans="1:36" x14ac:dyDescent="0.45">
      <c r="A70" t="s">
        <v>3</v>
      </c>
      <c r="B70" t="s">
        <v>3</v>
      </c>
      <c r="C70" t="s">
        <v>3</v>
      </c>
      <c r="AI70" t="s">
        <v>8</v>
      </c>
      <c r="AJ70" t="str">
        <f t="shared" ref="AJ70:AJ74" si="5">SUBSTITUTE("'"&amp;A70&amp;B70&amp;C70&amp;"'"," ", "x")</f>
        <v>'SSS'</v>
      </c>
    </row>
    <row r="71" spans="1:36" x14ac:dyDescent="0.45">
      <c r="A71" t="s">
        <v>3</v>
      </c>
      <c r="B71" t="s">
        <v>88</v>
      </c>
      <c r="C71" t="s">
        <v>88</v>
      </c>
      <c r="AI71" t="s">
        <v>8</v>
      </c>
      <c r="AJ71" t="str">
        <f t="shared" si="5"/>
        <v>'Sxx'</v>
      </c>
    </row>
    <row r="72" spans="1:36" x14ac:dyDescent="0.45">
      <c r="A72" t="s">
        <v>3</v>
      </c>
      <c r="B72" t="s">
        <v>3</v>
      </c>
      <c r="C72" t="s">
        <v>3</v>
      </c>
      <c r="AI72" t="s">
        <v>8</v>
      </c>
      <c r="AJ72" t="str">
        <f t="shared" si="5"/>
        <v>'SSS'</v>
      </c>
    </row>
    <row r="73" spans="1:36" x14ac:dyDescent="0.45">
      <c r="A73" t="s">
        <v>3</v>
      </c>
      <c r="B73" t="s">
        <v>88</v>
      </c>
      <c r="C73" t="s">
        <v>3</v>
      </c>
      <c r="AI73" t="s">
        <v>8</v>
      </c>
      <c r="AJ73" t="str">
        <f t="shared" si="5"/>
        <v>'SxS'</v>
      </c>
    </row>
    <row r="74" spans="1:36" x14ac:dyDescent="0.45">
      <c r="A74" t="s">
        <v>3</v>
      </c>
      <c r="B74" t="s">
        <v>3</v>
      </c>
      <c r="C74" t="s">
        <v>3</v>
      </c>
      <c r="AI74" t="s">
        <v>8</v>
      </c>
      <c r="AJ74" t="str">
        <f t="shared" si="5"/>
        <v>'SSS'</v>
      </c>
    </row>
    <row r="75" spans="1:36" x14ac:dyDescent="0.45">
      <c r="AH75" t="s">
        <v>117</v>
      </c>
    </row>
    <row r="76" spans="1:36" x14ac:dyDescent="0.45">
      <c r="A76" t="s">
        <v>3</v>
      </c>
      <c r="B76" t="s">
        <v>3</v>
      </c>
      <c r="C76" t="s">
        <v>3</v>
      </c>
      <c r="AI76" t="s">
        <v>8</v>
      </c>
      <c r="AJ76" t="str">
        <f t="shared" ref="AJ76:AJ80" si="6">SUBSTITUTE("'"&amp;A76&amp;B76&amp;C76&amp;"'"," ", "x")</f>
        <v>'SSS'</v>
      </c>
    </row>
    <row r="77" spans="1:36" x14ac:dyDescent="0.45">
      <c r="A77" t="s">
        <v>88</v>
      </c>
      <c r="B77" t="s">
        <v>88</v>
      </c>
      <c r="C77" t="s">
        <v>3</v>
      </c>
      <c r="AI77" t="s">
        <v>8</v>
      </c>
      <c r="AJ77" t="str">
        <f t="shared" si="6"/>
        <v>'xxS'</v>
      </c>
    </row>
    <row r="78" spans="1:36" x14ac:dyDescent="0.45">
      <c r="A78" t="s">
        <v>88</v>
      </c>
      <c r="B78" t="s">
        <v>88</v>
      </c>
      <c r="C78" t="s">
        <v>3</v>
      </c>
      <c r="AI78" t="s">
        <v>8</v>
      </c>
      <c r="AJ78" t="str">
        <f t="shared" si="6"/>
        <v>'xxS'</v>
      </c>
    </row>
    <row r="79" spans="1:36" x14ac:dyDescent="0.45">
      <c r="A79" t="s">
        <v>88</v>
      </c>
      <c r="B79" t="s">
        <v>88</v>
      </c>
      <c r="C79" t="s">
        <v>3</v>
      </c>
      <c r="AI79" t="s">
        <v>8</v>
      </c>
      <c r="AJ79" t="str">
        <f t="shared" si="6"/>
        <v>'xxS'</v>
      </c>
    </row>
    <row r="80" spans="1:36" x14ac:dyDescent="0.45">
      <c r="A80" t="s">
        <v>88</v>
      </c>
      <c r="B80" t="s">
        <v>88</v>
      </c>
      <c r="C80" t="s">
        <v>3</v>
      </c>
      <c r="AI80" t="s">
        <v>8</v>
      </c>
      <c r="AJ80" t="str">
        <f t="shared" si="6"/>
        <v>'xxS'</v>
      </c>
    </row>
    <row r="81" spans="1:36" x14ac:dyDescent="0.45">
      <c r="AH81" t="s">
        <v>118</v>
      </c>
    </row>
    <row r="82" spans="1:36" x14ac:dyDescent="0.45">
      <c r="A82" t="s">
        <v>3</v>
      </c>
      <c r="B82" t="s">
        <v>3</v>
      </c>
      <c r="C82" t="s">
        <v>3</v>
      </c>
      <c r="AI82" t="s">
        <v>8</v>
      </c>
      <c r="AJ82" t="str">
        <f t="shared" ref="AJ82:AJ86" si="7">SUBSTITUTE("'"&amp;A82&amp;B82&amp;C82&amp;"'"," ", "x")</f>
        <v>'SSS'</v>
      </c>
    </row>
    <row r="83" spans="1:36" x14ac:dyDescent="0.45">
      <c r="A83" t="s">
        <v>3</v>
      </c>
      <c r="B83" t="s">
        <v>88</v>
      </c>
      <c r="C83" t="s">
        <v>3</v>
      </c>
      <c r="AI83" t="s">
        <v>8</v>
      </c>
      <c r="AJ83" t="str">
        <f t="shared" si="7"/>
        <v>'SxS'</v>
      </c>
    </row>
    <row r="84" spans="1:36" x14ac:dyDescent="0.45">
      <c r="A84" t="s">
        <v>3</v>
      </c>
      <c r="B84" t="s">
        <v>3</v>
      </c>
      <c r="C84" t="s">
        <v>3</v>
      </c>
      <c r="AI84" t="s">
        <v>8</v>
      </c>
      <c r="AJ84" t="str">
        <f t="shared" si="7"/>
        <v>'SSS'</v>
      </c>
    </row>
    <row r="85" spans="1:36" x14ac:dyDescent="0.45">
      <c r="A85" t="s">
        <v>3</v>
      </c>
      <c r="B85" t="s">
        <v>88</v>
      </c>
      <c r="C85" t="s">
        <v>3</v>
      </c>
      <c r="AI85" t="s">
        <v>8</v>
      </c>
      <c r="AJ85" t="str">
        <f t="shared" si="7"/>
        <v>'SxS'</v>
      </c>
    </row>
    <row r="86" spans="1:36" x14ac:dyDescent="0.45">
      <c r="A86" t="s">
        <v>3</v>
      </c>
      <c r="B86" t="s">
        <v>3</v>
      </c>
      <c r="C86" t="s">
        <v>3</v>
      </c>
      <c r="AI86" t="s">
        <v>8</v>
      </c>
      <c r="AJ86" t="str">
        <f t="shared" si="7"/>
        <v>'SSS'</v>
      </c>
    </row>
    <row r="87" spans="1:36" x14ac:dyDescent="0.45">
      <c r="AH87" t="s">
        <v>119</v>
      </c>
    </row>
    <row r="88" spans="1:36" x14ac:dyDescent="0.45">
      <c r="A88" t="s">
        <v>3</v>
      </c>
      <c r="B88" t="s">
        <v>3</v>
      </c>
      <c r="C88" t="s">
        <v>3</v>
      </c>
      <c r="AI88" t="s">
        <v>8</v>
      </c>
      <c r="AJ88" t="str">
        <f t="shared" ref="AJ88:AJ92" si="8">SUBSTITUTE("'"&amp;A88&amp;B88&amp;C88&amp;"'"," ", "x")</f>
        <v>'SSS'</v>
      </c>
    </row>
    <row r="89" spans="1:36" x14ac:dyDescent="0.45">
      <c r="A89" t="s">
        <v>3</v>
      </c>
      <c r="B89" t="s">
        <v>88</v>
      </c>
      <c r="C89" t="s">
        <v>3</v>
      </c>
      <c r="AI89" t="s">
        <v>8</v>
      </c>
      <c r="AJ89" t="str">
        <f t="shared" si="8"/>
        <v>'SxS'</v>
      </c>
    </row>
    <row r="90" spans="1:36" x14ac:dyDescent="0.45">
      <c r="A90" t="s">
        <v>3</v>
      </c>
      <c r="B90" t="s">
        <v>3</v>
      </c>
      <c r="C90" t="s">
        <v>3</v>
      </c>
      <c r="AI90" t="s">
        <v>8</v>
      </c>
      <c r="AJ90" t="str">
        <f t="shared" si="8"/>
        <v>'SSS'</v>
      </c>
    </row>
    <row r="91" spans="1:36" x14ac:dyDescent="0.45">
      <c r="A91" t="s">
        <v>88</v>
      </c>
      <c r="B91" t="s">
        <v>88</v>
      </c>
      <c r="C91" t="s">
        <v>3</v>
      </c>
      <c r="AI91" t="s">
        <v>8</v>
      </c>
      <c r="AJ91" t="str">
        <f t="shared" si="8"/>
        <v>'xxS'</v>
      </c>
    </row>
    <row r="92" spans="1:36" x14ac:dyDescent="0.45">
      <c r="A92" t="s">
        <v>3</v>
      </c>
      <c r="B92" t="s">
        <v>3</v>
      </c>
      <c r="C92" t="s">
        <v>3</v>
      </c>
      <c r="AI92" t="s">
        <v>8</v>
      </c>
      <c r="AJ92" t="str">
        <f t="shared" si="8"/>
        <v>'SSS'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7C779-4414-4DC1-A545-F9BBED8971B5}">
  <dimension ref="A1:E18"/>
  <sheetViews>
    <sheetView workbookViewId="0">
      <selection activeCell="B19" sqref="B19"/>
    </sheetView>
  </sheetViews>
  <sheetFormatPr defaultRowHeight="14.25" x14ac:dyDescent="0.45"/>
  <cols>
    <col min="1" max="1" width="11.796875" customWidth="1"/>
    <col min="3" max="3" width="10.796875" bestFit="1" customWidth="1"/>
    <col min="4" max="4" width="10.796875" customWidth="1"/>
  </cols>
  <sheetData>
    <row r="1" spans="1:5" x14ac:dyDescent="0.45">
      <c r="A1" s="18" t="s">
        <v>22</v>
      </c>
      <c r="B1" s="18" t="s">
        <v>23</v>
      </c>
      <c r="C1" s="18" t="s">
        <v>24</v>
      </c>
      <c r="D1" s="18" t="s">
        <v>30</v>
      </c>
      <c r="E1" t="s">
        <v>26</v>
      </c>
    </row>
    <row r="2" spans="1:5" x14ac:dyDescent="0.45">
      <c r="A2" s="18">
        <v>0</v>
      </c>
      <c r="B2" s="18" t="s">
        <v>25</v>
      </c>
      <c r="C2" s="18">
        <v>0</v>
      </c>
      <c r="D2" s="18">
        <f>3-C2+1</f>
        <v>4</v>
      </c>
      <c r="E2">
        <v>1</v>
      </c>
    </row>
    <row r="3" spans="1:5" x14ac:dyDescent="0.45">
      <c r="A3">
        <v>0</v>
      </c>
      <c r="B3" t="s">
        <v>25</v>
      </c>
      <c r="C3">
        <v>2</v>
      </c>
      <c r="D3" s="18">
        <f t="shared" ref="D3:D13" si="0">3-C3+1</f>
        <v>2</v>
      </c>
      <c r="E3">
        <v>-2</v>
      </c>
    </row>
    <row r="4" spans="1:5" x14ac:dyDescent="0.45">
      <c r="A4">
        <v>0</v>
      </c>
      <c r="B4" t="s">
        <v>25</v>
      </c>
      <c r="C4">
        <v>3</v>
      </c>
      <c r="D4" s="18">
        <f t="shared" si="0"/>
        <v>1</v>
      </c>
      <c r="E4">
        <v>-1</v>
      </c>
    </row>
    <row r="5" spans="1:5" x14ac:dyDescent="0.45">
      <c r="A5">
        <v>1</v>
      </c>
      <c r="B5" t="s">
        <v>27</v>
      </c>
      <c r="C5">
        <v>0</v>
      </c>
      <c r="D5" s="18">
        <f t="shared" si="0"/>
        <v>4</v>
      </c>
      <c r="E5">
        <v>1</v>
      </c>
    </row>
    <row r="6" spans="1:5" x14ac:dyDescent="0.45">
      <c r="A6">
        <v>1</v>
      </c>
      <c r="B6" t="s">
        <v>27</v>
      </c>
      <c r="C6">
        <v>2</v>
      </c>
      <c r="D6" s="18">
        <f t="shared" si="0"/>
        <v>2</v>
      </c>
      <c r="E6">
        <v>-2</v>
      </c>
    </row>
    <row r="7" spans="1:5" x14ac:dyDescent="0.45">
      <c r="A7">
        <v>1</v>
      </c>
      <c r="B7" t="s">
        <v>27</v>
      </c>
      <c r="C7">
        <v>3</v>
      </c>
      <c r="D7" s="18">
        <f t="shared" si="0"/>
        <v>1</v>
      </c>
      <c r="E7">
        <v>1</v>
      </c>
    </row>
    <row r="8" spans="1:5" x14ac:dyDescent="0.45">
      <c r="A8">
        <v>2</v>
      </c>
      <c r="B8" t="s">
        <v>25</v>
      </c>
      <c r="C8">
        <v>0</v>
      </c>
      <c r="D8" s="18">
        <f t="shared" si="0"/>
        <v>4</v>
      </c>
      <c r="E8">
        <v>2</v>
      </c>
    </row>
    <row r="9" spans="1:5" x14ac:dyDescent="0.45">
      <c r="A9">
        <v>2</v>
      </c>
      <c r="B9" t="s">
        <v>25</v>
      </c>
      <c r="C9">
        <v>1</v>
      </c>
      <c r="D9" s="18">
        <f t="shared" si="0"/>
        <v>3</v>
      </c>
      <c r="E9">
        <v>1</v>
      </c>
    </row>
    <row r="10" spans="1:5" x14ac:dyDescent="0.45">
      <c r="A10">
        <v>2</v>
      </c>
      <c r="B10" t="s">
        <v>25</v>
      </c>
      <c r="C10">
        <v>3</v>
      </c>
      <c r="D10" s="18">
        <f t="shared" si="0"/>
        <v>1</v>
      </c>
      <c r="E10">
        <v>-1</v>
      </c>
    </row>
    <row r="11" spans="1:5" x14ac:dyDescent="0.45">
      <c r="A11">
        <v>3</v>
      </c>
      <c r="B11" t="s">
        <v>27</v>
      </c>
      <c r="C11">
        <v>0</v>
      </c>
      <c r="D11" s="18">
        <f t="shared" si="0"/>
        <v>4</v>
      </c>
      <c r="E11">
        <v>2</v>
      </c>
    </row>
    <row r="12" spans="1:5" x14ac:dyDescent="0.45">
      <c r="A12">
        <v>3</v>
      </c>
      <c r="B12" t="s">
        <v>27</v>
      </c>
      <c r="C12">
        <v>1</v>
      </c>
      <c r="D12" s="18">
        <f t="shared" si="0"/>
        <v>3</v>
      </c>
      <c r="E12">
        <v>1</v>
      </c>
    </row>
    <row r="13" spans="1:5" x14ac:dyDescent="0.45">
      <c r="A13">
        <v>3</v>
      </c>
      <c r="B13" t="s">
        <v>27</v>
      </c>
      <c r="C13">
        <v>3</v>
      </c>
      <c r="D13" s="18">
        <f t="shared" si="0"/>
        <v>1</v>
      </c>
      <c r="E13">
        <v>-1</v>
      </c>
    </row>
    <row r="16" spans="1:5" x14ac:dyDescent="0.45">
      <c r="A16" t="s">
        <v>28</v>
      </c>
      <c r="B16" t="s">
        <v>29</v>
      </c>
    </row>
    <row r="18" spans="2:2" x14ac:dyDescent="0.45">
      <c r="B18" t="s">
        <v>127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0EE3E-DD9D-493C-BFBC-34FE3FDDFD5B}">
  <dimension ref="A1:K17"/>
  <sheetViews>
    <sheetView workbookViewId="0">
      <selection activeCell="K18" sqref="K18"/>
    </sheetView>
  </sheetViews>
  <sheetFormatPr defaultRowHeight="14.25" x14ac:dyDescent="0.45"/>
  <cols>
    <col min="1" max="10" width="2.59765625" customWidth="1"/>
    <col min="11" max="11" width="98.1328125" customWidth="1"/>
  </cols>
  <sheetData>
    <row r="1" spans="1:11" x14ac:dyDescent="0.45">
      <c r="K1" t="s">
        <v>122</v>
      </c>
    </row>
    <row r="2" spans="1:11" x14ac:dyDescent="0.45">
      <c r="K2" t="s">
        <v>123</v>
      </c>
    </row>
    <row r="3" spans="1:11" x14ac:dyDescent="0.45">
      <c r="A3" t="s">
        <v>31</v>
      </c>
      <c r="K3" t="s">
        <v>124</v>
      </c>
    </row>
    <row r="4" spans="1:11" x14ac:dyDescent="0.45">
      <c r="C4" t="s">
        <v>31</v>
      </c>
      <c r="K4" t="s">
        <v>125</v>
      </c>
    </row>
    <row r="5" spans="1:11" x14ac:dyDescent="0.45">
      <c r="B5" t="s">
        <v>31</v>
      </c>
    </row>
    <row r="6" spans="1:11" x14ac:dyDescent="0.45">
      <c r="A6" t="s">
        <v>31</v>
      </c>
      <c r="K6" t="s">
        <v>34</v>
      </c>
    </row>
    <row r="7" spans="1:11" x14ac:dyDescent="0.45">
      <c r="B7" t="s">
        <v>31</v>
      </c>
      <c r="K7" t="s">
        <v>35</v>
      </c>
    </row>
    <row r="8" spans="1:11" x14ac:dyDescent="0.45">
      <c r="A8" t="s">
        <v>32</v>
      </c>
      <c r="B8" t="s">
        <v>32</v>
      </c>
      <c r="C8" t="s">
        <v>32</v>
      </c>
      <c r="D8" t="s">
        <v>32</v>
      </c>
      <c r="E8" t="s">
        <v>32</v>
      </c>
      <c r="F8" t="s">
        <v>32</v>
      </c>
      <c r="G8" t="s">
        <v>32</v>
      </c>
      <c r="H8" t="s">
        <v>32</v>
      </c>
      <c r="I8" t="s">
        <v>32</v>
      </c>
      <c r="J8" t="s">
        <v>32</v>
      </c>
    </row>
    <row r="9" spans="1:11" x14ac:dyDescent="0.45">
      <c r="A9" t="s">
        <v>32</v>
      </c>
      <c r="B9" t="s">
        <v>32</v>
      </c>
      <c r="C9" t="s">
        <v>32</v>
      </c>
      <c r="D9" t="s">
        <v>32</v>
      </c>
      <c r="E9" t="s">
        <v>32</v>
      </c>
      <c r="F9" t="s">
        <v>32</v>
      </c>
      <c r="G9" t="s">
        <v>32</v>
      </c>
      <c r="H9" t="s">
        <v>32</v>
      </c>
      <c r="I9" t="s">
        <v>32</v>
      </c>
      <c r="J9" t="s">
        <v>32</v>
      </c>
      <c r="K9" t="s">
        <v>38</v>
      </c>
    </row>
    <row r="10" spans="1:11" x14ac:dyDescent="0.45">
      <c r="A10" t="s">
        <v>31</v>
      </c>
      <c r="B10" t="s">
        <v>31</v>
      </c>
      <c r="C10" t="s">
        <v>31</v>
      </c>
      <c r="D10" t="s">
        <v>31</v>
      </c>
      <c r="F10" t="s">
        <v>31</v>
      </c>
      <c r="G10" t="s">
        <v>31</v>
      </c>
      <c r="I10" t="s">
        <v>31</v>
      </c>
      <c r="J10" t="s">
        <v>31</v>
      </c>
      <c r="K10" t="s">
        <v>40</v>
      </c>
    </row>
    <row r="11" spans="1:11" x14ac:dyDescent="0.45">
      <c r="A11" t="s">
        <v>32</v>
      </c>
      <c r="B11" t="s">
        <v>32</v>
      </c>
      <c r="C11" t="s">
        <v>32</v>
      </c>
      <c r="D11" t="s">
        <v>32</v>
      </c>
      <c r="E11" t="s">
        <v>32</v>
      </c>
      <c r="F11" t="s">
        <v>32</v>
      </c>
      <c r="G11" t="s">
        <v>32</v>
      </c>
      <c r="H11" t="s">
        <v>32</v>
      </c>
      <c r="I11" t="s">
        <v>32</v>
      </c>
      <c r="J11" t="s">
        <v>32</v>
      </c>
      <c r="K11" t="s">
        <v>39</v>
      </c>
    </row>
    <row r="12" spans="1:11" x14ac:dyDescent="0.45">
      <c r="A12" s="18" t="s">
        <v>121</v>
      </c>
      <c r="B12" s="18" t="s">
        <v>121</v>
      </c>
      <c r="C12" s="18" t="s">
        <v>121</v>
      </c>
      <c r="D12" s="18" t="s">
        <v>121</v>
      </c>
      <c r="E12" s="18" t="s">
        <v>121</v>
      </c>
      <c r="F12" s="18" t="s">
        <v>121</v>
      </c>
      <c r="G12" s="18" t="s">
        <v>121</v>
      </c>
      <c r="H12" s="18" t="s">
        <v>121</v>
      </c>
      <c r="I12" s="18" t="s">
        <v>121</v>
      </c>
      <c r="J12" s="18" t="s">
        <v>121</v>
      </c>
      <c r="K12" t="s">
        <v>36</v>
      </c>
    </row>
    <row r="13" spans="1:11" x14ac:dyDescent="0.45">
      <c r="K13" t="s">
        <v>41</v>
      </c>
    </row>
    <row r="14" spans="1:11" x14ac:dyDescent="0.45">
      <c r="K14" t="s">
        <v>37</v>
      </c>
    </row>
    <row r="15" spans="1:11" x14ac:dyDescent="0.45">
      <c r="K15" t="s">
        <v>42</v>
      </c>
    </row>
    <row r="17" spans="11:11" x14ac:dyDescent="0.45">
      <c r="K17" t="s">
        <v>126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Tetrominos</vt:lpstr>
      <vt:lpstr>Tetromino ASM</vt:lpstr>
      <vt:lpstr>Tetromino Chars</vt:lpstr>
      <vt:lpstr>Dazzle Table</vt:lpstr>
      <vt:lpstr>Dazzler Layout2</vt:lpstr>
      <vt:lpstr>Kick 5</vt:lpstr>
      <vt:lpstr>Gravity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Hatchman</dc:creator>
  <cp:lastModifiedBy>Paul Hatchman</cp:lastModifiedBy>
  <dcterms:created xsi:type="dcterms:W3CDTF">2022-11-18T23:32:04Z</dcterms:created>
  <dcterms:modified xsi:type="dcterms:W3CDTF">2022-12-28T01:49:15Z</dcterms:modified>
</cp:coreProperties>
</file>